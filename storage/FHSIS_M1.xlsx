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laragon\www\cesu\storage\"/>
    </mc:Choice>
  </mc:AlternateContent>
  <xr:revisionPtr revIDLastSave="0" documentId="13_ncr:1_{4B89AE56-5EE6-4D0D-ABC0-97DCB9C4554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M1_All Progra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6LP+orDcgnUtRSNioVhEbngKevr2NDwpfCwK5JI+JWs="/>
    </ext>
  </extLst>
</workbook>
</file>

<file path=xl/calcChain.xml><?xml version="1.0" encoding="utf-8"?>
<calcChain xmlns="http://schemas.openxmlformats.org/spreadsheetml/2006/main">
  <c r="S130" i="1" l="1"/>
  <c r="S129" i="1"/>
  <c r="S128" i="1"/>
  <c r="S127" i="1"/>
  <c r="S126" i="1"/>
  <c r="S125" i="1"/>
  <c r="D131" i="1"/>
  <c r="D130" i="1"/>
  <c r="D129" i="1"/>
  <c r="D128" i="1"/>
  <c r="D127" i="1"/>
  <c r="D126" i="1"/>
  <c r="D125" i="1"/>
  <c r="D122" i="1"/>
  <c r="D121" i="1"/>
  <c r="S118" i="1"/>
  <c r="S117" i="1"/>
  <c r="S116" i="1"/>
  <c r="S115" i="1"/>
  <c r="D118" i="1"/>
  <c r="D117" i="1"/>
  <c r="D116" i="1"/>
  <c r="D115" i="1"/>
  <c r="D40" i="1"/>
  <c r="C40" i="1"/>
  <c r="B40" i="1"/>
  <c r="E40" i="1" s="1"/>
  <c r="T33" i="1"/>
  <c r="S33" i="1"/>
  <c r="R33" i="1"/>
  <c r="T32" i="1"/>
  <c r="S32" i="1"/>
  <c r="R32" i="1"/>
  <c r="U32" i="1" s="1"/>
  <c r="T31" i="1"/>
  <c r="S31" i="1"/>
  <c r="R31" i="1"/>
  <c r="U31" i="1" s="1"/>
  <c r="T30" i="1"/>
  <c r="S30" i="1"/>
  <c r="R30" i="1"/>
  <c r="U30" i="1" s="1"/>
  <c r="T29" i="1"/>
  <c r="S29" i="1"/>
  <c r="R29" i="1"/>
  <c r="U29" i="1" s="1"/>
  <c r="T28" i="1"/>
  <c r="T26" i="1" s="1"/>
  <c r="S28" i="1"/>
  <c r="R28" i="1"/>
  <c r="T27" i="1"/>
  <c r="S27" i="1"/>
  <c r="R27" i="1"/>
  <c r="T25" i="1"/>
  <c r="S25" i="1"/>
  <c r="R25" i="1"/>
  <c r="T24" i="1"/>
  <c r="S24" i="1"/>
  <c r="S23" i="1" s="1"/>
  <c r="R24" i="1"/>
  <c r="R23" i="1" s="1"/>
  <c r="U23" i="1" s="1"/>
  <c r="T22" i="1"/>
  <c r="S22" i="1"/>
  <c r="R22" i="1"/>
  <c r="T21" i="1"/>
  <c r="S21" i="1"/>
  <c r="R21" i="1"/>
  <c r="T20" i="1"/>
  <c r="T19" i="1" s="1"/>
  <c r="S20" i="1"/>
  <c r="S19" i="1" s="1"/>
  <c r="R20" i="1"/>
  <c r="R19" i="1" s="1"/>
  <c r="T18" i="1"/>
  <c r="S18" i="1"/>
  <c r="R18" i="1"/>
  <c r="T17" i="1"/>
  <c r="S17" i="1"/>
  <c r="R17" i="1"/>
  <c r="U17" i="1" s="1"/>
  <c r="T16" i="1"/>
  <c r="S16" i="1"/>
  <c r="R16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C34" i="1"/>
  <c r="D34" i="1"/>
  <c r="F34" i="1"/>
  <c r="G34" i="1"/>
  <c r="H34" i="1"/>
  <c r="I34" i="1"/>
  <c r="J34" i="1"/>
  <c r="K34" i="1"/>
  <c r="L34" i="1"/>
  <c r="M34" i="1"/>
  <c r="N34" i="1"/>
  <c r="O34" i="1"/>
  <c r="P34" i="1"/>
  <c r="Q34" i="1"/>
  <c r="V34" i="1"/>
  <c r="W34" i="1"/>
  <c r="X34" i="1"/>
  <c r="X26" i="1"/>
  <c r="W26" i="1"/>
  <c r="V26" i="1"/>
  <c r="S26" i="1"/>
  <c r="R26" i="1"/>
  <c r="P26" i="1"/>
  <c r="O26" i="1"/>
  <c r="N26" i="1"/>
  <c r="L26" i="1"/>
  <c r="K26" i="1"/>
  <c r="J26" i="1"/>
  <c r="H26" i="1"/>
  <c r="G26" i="1"/>
  <c r="F26" i="1"/>
  <c r="D26" i="1"/>
  <c r="C26" i="1"/>
  <c r="B26" i="1"/>
  <c r="X23" i="1"/>
  <c r="W23" i="1"/>
  <c r="V23" i="1"/>
  <c r="T23" i="1"/>
  <c r="P23" i="1"/>
  <c r="O23" i="1"/>
  <c r="N23" i="1"/>
  <c r="L23" i="1"/>
  <c r="K23" i="1"/>
  <c r="J23" i="1"/>
  <c r="H23" i="1"/>
  <c r="G23" i="1"/>
  <c r="F23" i="1"/>
  <c r="D23" i="1"/>
  <c r="C23" i="1"/>
  <c r="B23" i="1"/>
  <c r="X19" i="1"/>
  <c r="W19" i="1"/>
  <c r="V19" i="1"/>
  <c r="P19" i="1"/>
  <c r="O19" i="1"/>
  <c r="N19" i="1"/>
  <c r="L19" i="1"/>
  <c r="K19" i="1"/>
  <c r="J19" i="1"/>
  <c r="H19" i="1"/>
  <c r="G19" i="1"/>
  <c r="F19" i="1"/>
  <c r="D19" i="1"/>
  <c r="C19" i="1"/>
  <c r="B19" i="1"/>
  <c r="B34" i="1" s="1"/>
  <c r="U33" i="1"/>
  <c r="U27" i="1"/>
  <c r="U25" i="1"/>
  <c r="U24" i="1"/>
  <c r="U22" i="1"/>
  <c r="U21" i="1"/>
  <c r="U20" i="1"/>
  <c r="U18" i="1"/>
  <c r="Q33" i="1"/>
  <c r="Q32" i="1"/>
  <c r="Q31" i="1"/>
  <c r="Q30" i="1"/>
  <c r="Q29" i="1"/>
  <c r="Q28" i="1"/>
  <c r="Q27" i="1"/>
  <c r="Q25" i="1"/>
  <c r="Q24" i="1"/>
  <c r="Q23" i="1"/>
  <c r="Q22" i="1"/>
  <c r="Q21" i="1"/>
  <c r="Q20" i="1"/>
  <c r="Q19" i="1"/>
  <c r="Q18" i="1"/>
  <c r="Q17" i="1"/>
  <c r="Q16" i="1"/>
  <c r="M17" i="1"/>
  <c r="M18" i="1"/>
  <c r="M19" i="1"/>
  <c r="M20" i="1"/>
  <c r="M21" i="1"/>
  <c r="M22" i="1"/>
  <c r="M23" i="1"/>
  <c r="M24" i="1"/>
  <c r="M25" i="1"/>
  <c r="M27" i="1"/>
  <c r="M28" i="1"/>
  <c r="M29" i="1"/>
  <c r="M30" i="1"/>
  <c r="M31" i="1"/>
  <c r="M32" i="1"/>
  <c r="M33" i="1"/>
  <c r="M16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8" i="1"/>
  <c r="E17" i="1"/>
  <c r="E16" i="1"/>
  <c r="S111" i="1"/>
  <c r="S110" i="1"/>
  <c r="S109" i="1"/>
  <c r="D111" i="1"/>
  <c r="D110" i="1"/>
  <c r="D109" i="1"/>
  <c r="S105" i="1"/>
  <c r="S104" i="1"/>
  <c r="S103" i="1"/>
  <c r="S102" i="1"/>
  <c r="S101" i="1"/>
  <c r="S100" i="1"/>
  <c r="S99" i="1"/>
  <c r="S97" i="1"/>
  <c r="S96" i="1"/>
  <c r="S95" i="1"/>
  <c r="S94" i="1"/>
  <c r="S93" i="1"/>
  <c r="S92" i="1"/>
  <c r="S91" i="1"/>
  <c r="S88" i="1"/>
  <c r="S87" i="1"/>
  <c r="D105" i="1"/>
  <c r="D104" i="1"/>
  <c r="D103" i="1"/>
  <c r="D102" i="1"/>
  <c r="D101" i="1"/>
  <c r="D100" i="1"/>
  <c r="D99" i="1"/>
  <c r="D97" i="1"/>
  <c r="D96" i="1"/>
  <c r="D95" i="1"/>
  <c r="D94" i="1"/>
  <c r="D93" i="1"/>
  <c r="D92" i="1"/>
  <c r="D91" i="1"/>
  <c r="D89" i="1"/>
  <c r="D88" i="1"/>
  <c r="D87" i="1"/>
  <c r="S56" i="1"/>
  <c r="R56" i="1"/>
  <c r="Q56" i="1"/>
  <c r="D43" i="1"/>
  <c r="D73" i="1" s="1"/>
  <c r="D77" i="1" s="1"/>
  <c r="C43" i="1"/>
  <c r="C73" i="1" s="1"/>
  <c r="C77" i="1" s="1"/>
  <c r="B43" i="1"/>
  <c r="E43" i="1" s="1"/>
  <c r="E81" i="1"/>
  <c r="E80" i="1"/>
  <c r="T70" i="1"/>
  <c r="T69" i="1"/>
  <c r="E72" i="1"/>
  <c r="E71" i="1"/>
  <c r="E70" i="1"/>
  <c r="E69" i="1"/>
  <c r="T65" i="1"/>
  <c r="T64" i="1"/>
  <c r="T63" i="1"/>
  <c r="T62" i="1"/>
  <c r="T61" i="1"/>
  <c r="T60" i="1"/>
  <c r="T59" i="1"/>
  <c r="T58" i="1"/>
  <c r="T57" i="1"/>
  <c r="E65" i="1"/>
  <c r="E64" i="1"/>
  <c r="E63" i="1"/>
  <c r="E60" i="1"/>
  <c r="E59" i="1"/>
  <c r="E58" i="1"/>
  <c r="E57" i="1"/>
  <c r="E56" i="1"/>
  <c r="T51" i="1"/>
  <c r="T50" i="1"/>
  <c r="T49" i="1"/>
  <c r="T48" i="1"/>
  <c r="T47" i="1"/>
  <c r="T46" i="1"/>
  <c r="E52" i="1"/>
  <c r="E51" i="1"/>
  <c r="E50" i="1"/>
  <c r="E49" i="1"/>
  <c r="E48" i="1"/>
  <c r="E47" i="1"/>
  <c r="E46" i="1"/>
  <c r="T43" i="1"/>
  <c r="T42" i="1"/>
  <c r="T41" i="1"/>
  <c r="T40" i="1"/>
  <c r="T39" i="1"/>
  <c r="E42" i="1"/>
  <c r="E41" i="1"/>
  <c r="E39" i="1"/>
  <c r="U19" i="1" l="1"/>
  <c r="U28" i="1"/>
  <c r="S34" i="1"/>
  <c r="T34" i="1"/>
  <c r="U16" i="1"/>
  <c r="R34" i="1"/>
  <c r="U26" i="1"/>
  <c r="Q26" i="1"/>
  <c r="M26" i="1"/>
  <c r="E19" i="1"/>
  <c r="E34" i="1" s="1"/>
  <c r="B73" i="1"/>
  <c r="B77" i="1" s="1"/>
  <c r="E77" i="1" s="1"/>
  <c r="T56" i="1"/>
  <c r="U34" i="1" l="1"/>
</calcChain>
</file>

<file path=xl/sharedStrings.xml><?xml version="1.0" encoding="utf-8"?>
<sst xmlns="http://schemas.openxmlformats.org/spreadsheetml/2006/main" count="677" uniqueCount="340">
  <si>
    <t>FHSIS REPORT for the Month __________ Year_____________</t>
  </si>
  <si>
    <t>M1
BRGY</t>
  </si>
  <si>
    <t>Name of Barangay _____________________________________</t>
  </si>
  <si>
    <t>Name of BHS __________________________________________</t>
  </si>
  <si>
    <t>Name of Municipality/City ________________________________</t>
  </si>
  <si>
    <t>Name of Province _______________________________________</t>
  </si>
  <si>
    <t>Projected Population of the Year ___________________________</t>
  </si>
  <si>
    <t>SECTION A. FAMILY PLANNING SERVICES FOR WOMEN OF REPRODUCTIVE AGE</t>
  </si>
  <si>
    <t>Demand Satisfied</t>
  </si>
  <si>
    <t>Age Group</t>
  </si>
  <si>
    <t>Total WRA 15-49 yrs old</t>
  </si>
  <si>
    <t>Remarks</t>
  </si>
  <si>
    <t>10-14 yrs old</t>
  </si>
  <si>
    <t>15-19 yrs old</t>
  </si>
  <si>
    <t>20-49 yrs old</t>
  </si>
  <si>
    <t>1. No. of women of reproductive age (WRA) 15-49 years old who have demand for Family Planning (FP) and currently using, or whose partner is currently using, any modern FP methods</t>
  </si>
  <si>
    <t>Modern FP Methods</t>
  </si>
  <si>
    <r>
      <rPr>
        <b/>
        <sz val="10"/>
        <color rgb="FFFFFFFF"/>
        <rFont val="Arial"/>
        <family val="2"/>
      </rPr>
      <t xml:space="preserve">Current Users
</t>
    </r>
    <r>
      <rPr>
        <sz val="10"/>
        <color rgb="FFFFFFFF"/>
        <rFont val="Arial"/>
        <family val="2"/>
      </rPr>
      <t>(Beginning of the Month)</t>
    </r>
  </si>
  <si>
    <t>Acceptors</t>
  </si>
  <si>
    <r>
      <rPr>
        <b/>
        <sz val="10"/>
        <color rgb="FFFFFFFF"/>
        <rFont val="Arial"/>
        <family val="2"/>
      </rPr>
      <t xml:space="preserve">Drop-outs
</t>
    </r>
    <r>
      <rPr>
        <sz val="10"/>
        <color rgb="FFFFFFFF"/>
        <rFont val="Arial"/>
        <family val="2"/>
      </rPr>
      <t>(Present Month)</t>
    </r>
  </si>
  <si>
    <r>
      <rPr>
        <b/>
        <sz val="10"/>
        <color rgb="FFFFFFFF"/>
        <rFont val="Arial"/>
        <family val="2"/>
      </rPr>
      <t xml:space="preserve">Current User
</t>
    </r>
    <r>
      <rPr>
        <sz val="10"/>
        <color rgb="FFFFFFFF"/>
        <rFont val="Arial"/>
        <family val="2"/>
      </rPr>
      <t>(End of the Month)</t>
    </r>
  </si>
  <si>
    <r>
      <rPr>
        <b/>
        <sz val="10"/>
        <color rgb="FFFFFFFF"/>
        <rFont val="Arial"/>
        <family val="2"/>
      </rPr>
      <t xml:space="preserve">New Acceptors
</t>
    </r>
    <r>
      <rPr>
        <sz val="10"/>
        <color rgb="FFFFFFFF"/>
        <rFont val="Arial"/>
        <family val="2"/>
      </rPr>
      <t>(Present Month)</t>
    </r>
  </si>
  <si>
    <t>New Acceptors (Previous Month)</t>
  </si>
  <si>
    <t>Other Acceptors (Present Month)</t>
  </si>
  <si>
    <t>TOTAL</t>
  </si>
  <si>
    <t>10-14</t>
  </si>
  <si>
    <t>15-19</t>
  </si>
  <si>
    <t>20-49</t>
  </si>
  <si>
    <t>1. BTL</t>
  </si>
  <si>
    <t>2. 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</si>
  <si>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</si>
  <si>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</si>
  <si>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</si>
  <si>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</si>
  <si>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</si>
  <si>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</si>
  <si>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Implants-Interval</t>
  </si>
  <si>
    <t xml:space="preserve">     b. Implants-PP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</si>
  <si>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</si>
  <si>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</si>
  <si>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</si>
  <si>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</si>
  <si>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</si>
  <si>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</si>
  <si>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</si>
  <si>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</si>
  <si>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Current Users</t>
  </si>
  <si>
    <t>SECTION B. MATERNAL CARE AND SERVICES</t>
  </si>
  <si>
    <t>Indicators</t>
  </si>
  <si>
    <t>PRENATAL CARE SERVICES</t>
  </si>
  <si>
    <t>1a. Women who gave birth with at least 4 prenatal check-ups</t>
  </si>
  <si>
    <t>3b. Number of Pregnant Women for the 2nd or more times given at least 3 doses of Td vaccination (Td2 Plus)</t>
  </si>
  <si>
    <r>
      <rPr>
        <sz val="10"/>
        <color theme="1"/>
        <rFont val="Arial"/>
        <family val="2"/>
      </rPr>
      <t xml:space="preserve">1b. Total No. of Women who delivered and completed at least 8ANC </t>
    </r>
    <r>
      <rPr>
        <b/>
        <sz val="10"/>
        <color theme="1"/>
        <rFont val="Arial"/>
        <family val="2"/>
      </rPr>
      <t>=(a+b)</t>
    </r>
  </si>
  <si>
    <t>4. Number of pregnant women who completed the dose of iron with folic acid supplementation</t>
  </si>
  <si>
    <t>a. No. of Women who delivered and Provided 1st to 8th ANC on schedule</t>
  </si>
  <si>
    <t>5. No. of pregnant women who completed the dose Multiple Micronutrient Supplementation</t>
  </si>
  <si>
    <t>b. No. of Women who delivered and completed at least 8ANC
TRANS IN from other LGUs</t>
  </si>
  <si>
    <t>6. No. of high-risk pregnant women who completed the dose of calcium carbonate</t>
  </si>
  <si>
    <r>
      <rPr>
        <sz val="10"/>
        <color theme="1"/>
        <rFont val="Arial"/>
        <family val="2"/>
      </rPr>
      <t>1c. Total No. of Women who delivered and were tracked during pregnancy</t>
    </r>
    <r>
      <rPr>
        <b/>
        <sz val="10"/>
        <color theme="1"/>
        <rFont val="Arial"/>
        <family val="2"/>
      </rPr>
      <t xml:space="preserve"> =(a+b)</t>
    </r>
  </si>
  <si>
    <t>7. No. of pregnant women given one dose of deworming tablet</t>
  </si>
  <si>
    <t>a. No. of Women who delivered and who were tracked during pregnancy</t>
  </si>
  <si>
    <t>8a. No of pregnant women screened for Hepatitis B</t>
  </si>
  <si>
    <r>
      <rPr>
        <sz val="10"/>
        <color theme="1"/>
        <rFont val="Arial"/>
        <family val="2"/>
      </rPr>
      <t xml:space="preserve">b. No. of </t>
    </r>
    <r>
      <rPr>
        <b/>
        <sz val="10"/>
        <color theme="1"/>
        <rFont val="Arial"/>
        <family val="2"/>
      </rPr>
      <t xml:space="preserve">TRANS IN </t>
    </r>
    <r>
      <rPr>
        <sz val="10"/>
        <color theme="1"/>
        <rFont val="Arial"/>
        <family val="2"/>
      </rPr>
      <t>from other LGUs who delivered</t>
    </r>
  </si>
  <si>
    <t>8b. No of pregnant women screened reactive for Hepatitis B</t>
  </si>
  <si>
    <r>
      <rPr>
        <sz val="10"/>
        <color theme="1"/>
        <rFont val="Arial"/>
        <family val="2"/>
      </rPr>
      <t xml:space="preserve">c. No. of </t>
    </r>
    <r>
      <rPr>
        <b/>
        <sz val="10"/>
        <color theme="1"/>
        <rFont val="Arial"/>
        <family val="2"/>
      </rPr>
      <t>TRANS OUT</t>
    </r>
    <r>
      <rPr>
        <sz val="10"/>
        <color theme="1"/>
        <rFont val="Arial"/>
        <family val="2"/>
      </rPr>
      <t xml:space="preserve"> (with MOV) before completing 8ANC</t>
    </r>
  </si>
  <si>
    <t>9a. No of pregnant women screened for Anemia</t>
  </si>
  <si>
    <t>2a. Number of pregnant women seen in the first trimester who have normal BMI</t>
  </si>
  <si>
    <t>9b. No of pregnant women diagnosed with Anemia</t>
  </si>
  <si>
    <t>2b. Number of pregnant women seen in the first trimester who have Low BMI</t>
  </si>
  <si>
    <t>10a. No of pregnant women screened for Gestational Diabetes Melitus</t>
  </si>
  <si>
    <t>2c. Number of pregnant women seen in the first trimester who have High BMI</t>
  </si>
  <si>
    <t>10b. No of pregnant women tested positive for Gestational Diabetes Melitus</t>
  </si>
  <si>
    <t>3a. Number of women pregnant for the first time given at least 2 doses of Tetanus diphtheria (Td) vaccination</t>
  </si>
  <si>
    <t>INTRAPARTUM AND NEWBORN CARE</t>
  </si>
  <si>
    <t>1. Total Deliveries</t>
  </si>
  <si>
    <t>4. No. of facility based deliveries (FBD)</t>
  </si>
  <si>
    <t>2. No. of Livebirths</t>
  </si>
  <si>
    <t>a. Public facility</t>
  </si>
  <si>
    <t>a. Normal birth weight</t>
  </si>
  <si>
    <t>b. Private facility</t>
  </si>
  <si>
    <t>b. Low birth weight</t>
  </si>
  <si>
    <t>5a. No. of  Vaginal deliveires</t>
  </si>
  <si>
    <t>c. Unknown birth weight</t>
  </si>
  <si>
    <t>5b.  No. of Cesarean section</t>
  </si>
  <si>
    <t>3. No. of deliveries attended by skilled health professionals</t>
  </si>
  <si>
    <t>5c.  No. of Combined Vaginal-Cesarean Delivery</t>
  </si>
  <si>
    <t>6a. No. of Full-Term deliveries</t>
  </si>
  <si>
    <t>a. Physicians</t>
  </si>
  <si>
    <t>6b. No. of Pre-Term Deliveries</t>
  </si>
  <si>
    <t>b. Nurses</t>
  </si>
  <si>
    <t>6c. No. of Fetal deaths</t>
  </si>
  <si>
    <t>c. Midwives</t>
  </si>
  <si>
    <t>6d. No. of  abortion/miscarriage</t>
  </si>
  <si>
    <t>POSTPARTUM CARE</t>
  </si>
  <si>
    <t>1a. Number and proportion of Postpartum women together with their newborn who completed at least 2PNC</t>
  </si>
  <si>
    <t>2. Number of postpartum women who completed the dose of iron with folic acid supplementation</t>
  </si>
  <si>
    <r>
      <rPr>
        <sz val="10"/>
        <color theme="1"/>
        <rFont val="Arial"/>
        <family val="2"/>
      </rPr>
      <t xml:space="preserve">1b. Total No. of women who delivered and completed at least 4PNC </t>
    </r>
    <r>
      <rPr>
        <b/>
        <sz val="10"/>
        <color theme="1"/>
        <rFont val="Arial"/>
        <family val="2"/>
      </rPr>
      <t>=(a+b)</t>
    </r>
  </si>
  <si>
    <t>3. Number of postpartum women who completed the dose ofVitamin A supplementation</t>
  </si>
  <si>
    <t>a. No. of women who delivered and Provided 1st to 4th PNC on schedule</t>
  </si>
  <si>
    <t>b. No. of women who delivered and completed at least 4PNC
TRANS IN from other LGUs</t>
  </si>
  <si>
    <r>
      <rPr>
        <sz val="10"/>
        <color theme="1"/>
        <rFont val="Arial"/>
        <family val="2"/>
      </rPr>
      <t>1c. Total No. of women who delivered and who were tracked during pregnancy</t>
    </r>
    <r>
      <rPr>
        <b/>
        <sz val="10"/>
        <color theme="1"/>
        <rFont val="Arial"/>
        <family val="2"/>
      </rPr>
      <t xml:space="preserve"> =(a+b)</t>
    </r>
  </si>
  <si>
    <t>a. No. of women who delivered and who were tracked during pregnancy</t>
  </si>
  <si>
    <r>
      <rPr>
        <sz val="10"/>
        <color theme="1"/>
        <rFont val="Arial"/>
        <family val="2"/>
      </rPr>
      <t xml:space="preserve">b. No. of </t>
    </r>
    <r>
      <rPr>
        <b/>
        <sz val="10"/>
        <color theme="1"/>
        <rFont val="Arial"/>
        <family val="2"/>
      </rPr>
      <t xml:space="preserve">TRANS IN </t>
    </r>
    <r>
      <rPr>
        <sz val="10"/>
        <color theme="1"/>
        <rFont val="Arial"/>
        <family val="2"/>
      </rPr>
      <t>from other LGUs</t>
    </r>
  </si>
  <si>
    <r>
      <rPr>
        <sz val="10"/>
        <color theme="1"/>
        <rFont val="Arial"/>
        <family val="2"/>
      </rPr>
      <t xml:space="preserve">c. No. of </t>
    </r>
    <r>
      <rPr>
        <b/>
        <sz val="10"/>
        <color theme="1"/>
        <rFont val="Arial"/>
        <family val="2"/>
      </rPr>
      <t>TRANS OUT</t>
    </r>
    <r>
      <rPr>
        <sz val="10"/>
        <color theme="1"/>
        <rFont val="Arial"/>
        <family val="2"/>
      </rPr>
      <t xml:space="preserve"> (with MOV) before completing 4PNC</t>
    </r>
  </si>
  <si>
    <t>SECTION C. CHILD CARE AND SERVICES</t>
  </si>
  <si>
    <t>Sex</t>
  </si>
  <si>
    <t>Male</t>
  </si>
  <si>
    <t>Female</t>
  </si>
  <si>
    <t>Total</t>
  </si>
  <si>
    <t>IMMUNIZATION</t>
  </si>
  <si>
    <t>A.1. Immunization Services</t>
  </si>
  <si>
    <t xml:space="preserve">1. Children protected at birth (CPAB) </t>
  </si>
  <si>
    <t>4. Hep B antigen with in 24 hrs after birth</t>
  </si>
  <si>
    <t>2. BCG (with in 0-28 days)</t>
  </si>
  <si>
    <t>5. Hep B antigen more than 24 hrs up to 14 days</t>
  </si>
  <si>
    <t>3. BCG (29 days to 1 year old)</t>
  </si>
  <si>
    <t>A.2. Immunization Services (0-12 months old)</t>
  </si>
  <si>
    <t>1. DPT-HiB-HepB 1</t>
  </si>
  <si>
    <t>8. IPV 2</t>
  </si>
  <si>
    <t>2. DPT-HiB-HepB 2</t>
  </si>
  <si>
    <t>9. PCV 1</t>
  </si>
  <si>
    <t>3. DPT-HiB-HepB 3</t>
  </si>
  <si>
    <t>10. PCV 2</t>
  </si>
  <si>
    <t>4. OPV 1</t>
  </si>
  <si>
    <t>11. PCV 3</t>
  </si>
  <si>
    <t>5. OPV 2</t>
  </si>
  <si>
    <t>12. MMR 1</t>
  </si>
  <si>
    <t>6. OPV 3</t>
  </si>
  <si>
    <t>13. MMR 2</t>
  </si>
  <si>
    <t>7. IPV 1</t>
  </si>
  <si>
    <t>14. FIC</t>
  </si>
  <si>
    <t>A.3. Immunization Services (13-23 months old)</t>
  </si>
  <si>
    <t>14. CIC</t>
  </si>
  <si>
    <t>A.4. School-Based Immunization</t>
  </si>
  <si>
    <t>1. HPV 1st dose (9 years old Female only)</t>
  </si>
  <si>
    <t>4. Grade 1 learners given MR</t>
  </si>
  <si>
    <t>2. HPV 2nd dose (9 years old Female only)</t>
  </si>
  <si>
    <t>5. Grade 7 learners given Td</t>
  </si>
  <si>
    <t>3. Grade 1 learners given Td</t>
  </si>
  <si>
    <t>6. Grade 7 learners given MR</t>
  </si>
  <si>
    <t>NUTRITION</t>
  </si>
  <si>
    <t>1. Newborns who were initiated on breastfeeding within 1 hour after birth</t>
  </si>
  <si>
    <t>4a. Infants aged 6-11 months old who completed routine MNP supplementation</t>
  </si>
  <si>
    <t>2a. Infants born with low birth weight (LBW) given complete Iron supplements</t>
  </si>
  <si>
    <t>4b. Children aged 12-23 months old who completed routine MNP supplementation</t>
  </si>
  <si>
    <t>2b.  Infants exclusively breastfed until 5th month and 29 days</t>
  </si>
  <si>
    <t>5a. Infants aged 6-11 months old who completed routine LNS-SQ supplementation</t>
  </si>
  <si>
    <t>2c. Infants who continued breastfeeding and were introduced to complementary feeding beginning at 6 months of age</t>
  </si>
  <si>
    <t>5b. Children aged 12-23 months old who completed routine LNS-SQ supplementation</t>
  </si>
  <si>
    <t>3a. Infants aged 6-11 months old who received 1 dose of Vitamin A supplementation</t>
  </si>
  <si>
    <t xml:space="preserve">3b. Children aged 12-59 months old who completed 2 doses of Vitamin A Supplementation
</t>
  </si>
  <si>
    <t>6. Children 0-59 months old SEEN during the reporting period at health facilities</t>
  </si>
  <si>
    <t>7d. Died</t>
  </si>
  <si>
    <r>
      <rPr>
        <sz val="10"/>
        <color theme="1"/>
        <rFont val="Arial"/>
        <family val="2"/>
      </rPr>
      <t xml:space="preserve">6a. Identified </t>
    </r>
    <r>
      <rPr>
        <b/>
        <sz val="10"/>
        <color theme="1"/>
        <rFont val="Arial"/>
        <family val="2"/>
      </rPr>
      <t>MAM</t>
    </r>
  </si>
  <si>
    <r>
      <rPr>
        <sz val="10"/>
        <color theme="1"/>
        <rFont val="Arial"/>
        <family val="2"/>
      </rPr>
      <t xml:space="preserve">8. </t>
    </r>
    <r>
      <rPr>
        <b/>
        <sz val="10"/>
        <color theme="1"/>
        <rFont val="Arial"/>
        <family val="2"/>
      </rPr>
      <t xml:space="preserve">SAM </t>
    </r>
    <r>
      <rPr>
        <sz val="10"/>
        <color theme="1"/>
        <rFont val="Arial"/>
        <family val="2"/>
      </rPr>
      <t>without complication admitted to OTC</t>
    </r>
  </si>
  <si>
    <r>
      <rPr>
        <sz val="10"/>
        <color theme="1"/>
        <rFont val="Arial"/>
        <family val="2"/>
      </rPr>
      <t xml:space="preserve">6b. Identified </t>
    </r>
    <r>
      <rPr>
        <b/>
        <sz val="10"/>
        <color theme="1"/>
        <rFont val="Arial"/>
        <family val="2"/>
      </rPr>
      <t>SAM</t>
    </r>
  </si>
  <si>
    <t>8a. Cured</t>
  </si>
  <si>
    <r>
      <rPr>
        <sz val="10"/>
        <color theme="1"/>
        <rFont val="Arial"/>
        <family val="2"/>
      </rPr>
      <t xml:space="preserve">7. </t>
    </r>
    <r>
      <rPr>
        <b/>
        <sz val="10"/>
        <color theme="1"/>
        <rFont val="Arial"/>
        <family val="2"/>
      </rPr>
      <t>MAM</t>
    </r>
    <r>
      <rPr>
        <sz val="10"/>
        <color theme="1"/>
        <rFont val="Arial"/>
        <family val="2"/>
      </rPr>
      <t xml:space="preserve"> enrolled to SFP</t>
    </r>
  </si>
  <si>
    <t>8b. Non-cured</t>
  </si>
  <si>
    <t>7a. Cured</t>
  </si>
  <si>
    <t>8c. Defaulted</t>
  </si>
  <si>
    <t>7b. Non-cured</t>
  </si>
  <si>
    <t>8d. Died</t>
  </si>
  <si>
    <t>7c. Defaulted</t>
  </si>
  <si>
    <t>MANAGEMENT OF SICK</t>
  </si>
  <si>
    <t>1. Sick infants aged 6-11 months old who received Vitamin A capsule aside from routine supplementation</t>
  </si>
  <si>
    <t>3a. 0-59 months old with acute diarrhea who received ORS only</t>
  </si>
  <si>
    <t>1a. Sick infants aged 6-11 months old seen</t>
  </si>
  <si>
    <t>3b. 0-59 months old with acute diarrhea who received ORS and Zinc drops/syrup</t>
  </si>
  <si>
    <t>2. Sick infants aged 12-59 months old who received Vitamin A capsule aside from routine supplementation</t>
  </si>
  <si>
    <t>4. Pneumonia cases 0-59 months old seen</t>
  </si>
  <si>
    <t>2a. Sick infants aged 12-59 months old seen</t>
  </si>
  <si>
    <t>4a. 0-59 months old with pneumonia who received antibiotic treatment</t>
  </si>
  <si>
    <t>3. Acute diarrhea cases 0-59 months old seen</t>
  </si>
  <si>
    <t>SECTION D. ORAL HEALTH CARE SERVICES</t>
  </si>
  <si>
    <t>1. Children 12-59 months old who are orally fit upon oral examination or after oral rehabilitation</t>
  </si>
  <si>
    <t>6. Adolescents 10-14 years old who received BOHC</t>
  </si>
  <si>
    <t>2. 5 years old and above with cases of Decayed-Missing Filled Teeth (DMFT)</t>
  </si>
  <si>
    <t>7. Adolescents 15-19 years old who received BOHC</t>
  </si>
  <si>
    <t>3. Infants 0-11 months old who received Basic Oral Health Care (BOHC)</t>
  </si>
  <si>
    <t>8. Adults 20-59 years old who received BOHC</t>
  </si>
  <si>
    <t>4. Children 1-4 years old who received BOHC</t>
  </si>
  <si>
    <t xml:space="preserve">9. Senior citizens 60 years old and above who received BOHC </t>
  </si>
  <si>
    <t>5. Children 5-9 years old who received BOHC</t>
  </si>
  <si>
    <t>10. Pregnant women who received BOHC</t>
  </si>
  <si>
    <t>SECTION E. NON-COMMUNICABLE DISEASES</t>
  </si>
  <si>
    <t>E1. Lifestyle Related</t>
  </si>
  <si>
    <t>1. Adults 20-59 years old who were risk assessed using the PhilPEN protocol</t>
  </si>
  <si>
    <t>2. Senior Citizens 60 years old and above who were risk assessed using the PhilPEN protocol</t>
  </si>
  <si>
    <t>1a. Current Smoker</t>
  </si>
  <si>
    <t>2a. With history of smoking</t>
  </si>
  <si>
    <t>1b. Binge Drinker</t>
  </si>
  <si>
    <t>2b. Binge Drinker</t>
  </si>
  <si>
    <t>1c. Insufficient physical activities</t>
  </si>
  <si>
    <t>2c. Insufficient physical activities</t>
  </si>
  <si>
    <t>1d. Consumed unhealthy diet</t>
  </si>
  <si>
    <t>2d. Consumed unhealthy diet</t>
  </si>
  <si>
    <t>1e. Overweight</t>
  </si>
  <si>
    <t>2e. Overweight</t>
  </si>
  <si>
    <t>1f. Obese</t>
  </si>
  <si>
    <t>2f. Obese</t>
  </si>
  <si>
    <t>E2. Cardiovascular Disease Prevention and Control</t>
  </si>
  <si>
    <t>E3. Diabetes Mellitus Prevention and Control</t>
  </si>
  <si>
    <t>1. Adults 20-59 years old who were identified as hypertensive using the PhilPEN protocol</t>
  </si>
  <si>
    <t>1. Adults 20-59 years old who were identified with Type II Diabetes using the PhilPEN protocol</t>
  </si>
  <si>
    <t>2. Hypertensives 20-59 years old provided with antihypertensive medications</t>
  </si>
  <si>
    <t>2. Type II Diabetics 20-59 years old provided with antidiabetic medications</t>
  </si>
  <si>
    <t>2a. Provided by facility</t>
  </si>
  <si>
    <t>2a. Provided by facility (100%)</t>
  </si>
  <si>
    <t>2b. Out of pocket</t>
  </si>
  <si>
    <t>3. Senior Citizens 60 years old and above who were identified as hypertensive using the PhilPEN protocol</t>
  </si>
  <si>
    <t>3. Senior Citizens 60 years old and above who were identified with Type II Diabetes using the PhilPEN protocol</t>
  </si>
  <si>
    <t>4. Hypertensives 60 years old and above provided with antihypertensive medications</t>
  </si>
  <si>
    <t>4. Type II Diabetics 60 years old and above provided with antidiabetic medications</t>
  </si>
  <si>
    <t>4a. Provided by facility</t>
  </si>
  <si>
    <t>4a. Provided by facility (100%)</t>
  </si>
  <si>
    <t>4b. Out of pocket</t>
  </si>
  <si>
    <t>E4. Blindness Prevention Program</t>
  </si>
  <si>
    <t>E5. Immunization for Senior Citizens</t>
  </si>
  <si>
    <t>1. Senior citizens aged 60 years old and above screened for visual acuity</t>
  </si>
  <si>
    <t>1. Senior Citizens Seen who had not previously received PPV upon reaching 60 years old</t>
  </si>
  <si>
    <t>2. Senior citizens aged 60 years old and above screened for visual acuity and identified with eye disease/s</t>
  </si>
  <si>
    <t>2. Senior citizens aged 60 years old and above who received one (1) dose of Pneumococcal Polysaccharide Vaccine</t>
  </si>
  <si>
    <t>3. Senior citizens identified with eye disease/s and referred to eye care professionals</t>
  </si>
  <si>
    <t>3. Senior Citizens Seen</t>
  </si>
  <si>
    <t>4. Senior citizens aged 60 years old and above who received one (1) dose of Influenza Vaccine</t>
  </si>
  <si>
    <t>E6. Cervical Cancer Prevention and Control Services</t>
  </si>
  <si>
    <t>E7. Breast Cancer Prevention and Control Services</t>
  </si>
  <si>
    <t>1. Women aged 30-65 years old screened or assessed for cervical cancer</t>
  </si>
  <si>
    <t>1. High-risk asymptomatic or symptomatic women aged 30-69 years old provided with Breast Cancer Early Detection Services</t>
  </si>
  <si>
    <t>1a. VIA</t>
  </si>
  <si>
    <t>1a. Clinical Breast Examination</t>
  </si>
  <si>
    <t>2a. PapSmear</t>
  </si>
  <si>
    <t>1b. Mammogram</t>
  </si>
  <si>
    <t>3a. HPV DNA</t>
  </si>
  <si>
    <t>2. High-risk asymptomatic or symptomatic women aged 30-69 years old found with remarkable or significant results</t>
  </si>
  <si>
    <t>4a. Assessed Only</t>
  </si>
  <si>
    <t>2a. Clinical Breast Examination</t>
  </si>
  <si>
    <t>2. Women aged 30-65 years old found suspicious for cervical cancer</t>
  </si>
  <si>
    <t>2b. Mammogram</t>
  </si>
  <si>
    <t>3. Women aged 30-65 years old found suspicious for cervical cancer and linked to care</t>
  </si>
  <si>
    <t>3. High-risk asymptomatic or symptomatic women aged 30-69 years old found with remarkable results and linked to care</t>
  </si>
  <si>
    <t>3a. Treated</t>
  </si>
  <si>
    <t>4. Asymptomatic women aged 50-69 years old screened for breast cancer</t>
  </si>
  <si>
    <t>3b. Referred</t>
  </si>
  <si>
    <t>4a. Clinical Breast Examination</t>
  </si>
  <si>
    <t>4. Women aged 30-65 years old found positive for precancerous lesions</t>
  </si>
  <si>
    <t>4b. Mammogram</t>
  </si>
  <si>
    <t>5. Women aged 30-65 years old found positive for precancerous lesions and linked to care</t>
  </si>
  <si>
    <t>5. Asymptomatic women aged 50-69 years old screened for breast cancer and found with remarkable or significant results</t>
  </si>
  <si>
    <t>5a. Treated</t>
  </si>
  <si>
    <t>5a. Clinical Breast Examination</t>
  </si>
  <si>
    <t>5b. Referred</t>
  </si>
  <si>
    <t>5b. Mammogram</t>
  </si>
  <si>
    <t>6. Asymptomatic women aged 50-69 years old screened for breast cancer and found with remarkable or significant results and linked to care</t>
  </si>
  <si>
    <t>Age Groups (in years)</t>
  </si>
  <si>
    <t>0-9</t>
  </si>
  <si>
    <t>20-59</t>
  </si>
  <si>
    <t>60 and above</t>
  </si>
  <si>
    <t>E8. Mental Health</t>
  </si>
  <si>
    <t>1. Individuals with mental health concern screened using the Mental Health Gap Action Programme (mhGAP)</t>
  </si>
  <si>
    <t>SECTION F. ENVIRONMENTAL HEALTH AND SANITATION</t>
  </si>
  <si>
    <t>G1. Water</t>
  </si>
  <si>
    <t>G1. Sanitation</t>
  </si>
  <si>
    <t>1. Households (HHs) with access to improved water supply - Total</t>
  </si>
  <si>
    <t>1. HH with basic sanitation facility - Total</t>
  </si>
  <si>
    <t xml:space="preserve">1a. HH with Level I </t>
  </si>
  <si>
    <t>1a. HH with pour/flush toilet connected to a septic tank</t>
  </si>
  <si>
    <t>1b. HH with Level II</t>
  </si>
  <si>
    <t>1b. HHs with pour/flush toilet connected to community sewer/sewerage system or any other approved treatment system</t>
  </si>
  <si>
    <t>1c. HH with Level III</t>
  </si>
  <si>
    <t>1c. HH with Ventilated Improved Pit (VIP) Latrine</t>
  </si>
  <si>
    <t>2. HH using safely managed drinking water service</t>
  </si>
  <si>
    <t>2. HH using safely managed sanitation service</t>
  </si>
  <si>
    <t>SECTION G. INFECTIOUS DISEASE PREVENTION AND CONTROL SERVICES</t>
  </si>
  <si>
    <t>A. Filariasis</t>
  </si>
  <si>
    <t>B. Rabies</t>
  </si>
  <si>
    <t>1. No. of individual examined for lymphatic filariasis</t>
  </si>
  <si>
    <t>1. Number of Animal Bites</t>
  </si>
  <si>
    <t>2. No. of individual examined found positive for lymphatic filariasis</t>
  </si>
  <si>
    <t>2. Number of deaths due to Rabies</t>
  </si>
  <si>
    <t>3. No. of lymphatic filariasis cases examined with manifestation of either lymphedema, hydrocele, elephantiasis</t>
  </si>
  <si>
    <t>C. Schistosomiasis</t>
  </si>
  <si>
    <t>1. No. of patients seen</t>
  </si>
  <si>
    <t>6. No. confirmed chronic cases</t>
  </si>
  <si>
    <t>2. No. of suspected cases seen</t>
  </si>
  <si>
    <t>7. No. of  confirmed cases 
   (acute and chronic)</t>
  </si>
  <si>
    <t>3. No.  acute clinically diagnosed cases</t>
  </si>
  <si>
    <t>8. No. of cases treated</t>
  </si>
  <si>
    <t>4. No. of confirmed acute cases</t>
  </si>
  <si>
    <t>9. No. of confirmed chronic cases referred to a 
    hospital facility</t>
  </si>
  <si>
    <t>5. No. of chronic clinically diagnosed cases</t>
  </si>
  <si>
    <t>D. Soil-Transmitted Helminthiasis</t>
  </si>
  <si>
    <t>1. No. of PSAC, 1-4 years old, who completed 2 doses of deworming tablet</t>
  </si>
  <si>
    <t>4. No. of WRA, 20-49 years old, who 
    completed 2 doses of deworming 
    tablet</t>
  </si>
  <si>
    <t>2. SAC, 5-9  years old, who completed 2 doses of deworming tablet</t>
  </si>
  <si>
    <t>5.  Pregnant women who 
    completed 1 dose of deworming 
    tablet</t>
  </si>
  <si>
    <t>3.  Adolescent, 10-19  years old, who completed 2 doses of deworming tablet</t>
  </si>
  <si>
    <t>E. Leprosy</t>
  </si>
  <si>
    <t>1. No. of Leprosy Cases on treatment during reporting period</t>
  </si>
  <si>
    <t>2. No. of newly detected cases 
    during reporting period</t>
  </si>
  <si>
    <t>F. HIV-AIDS/STI</t>
  </si>
  <si>
    <t>1. No. of pregnant women screened for syphilis - Total</t>
  </si>
  <si>
    <t>3. No. of pregnant women screened for HIV - Total</t>
  </si>
  <si>
    <t xml:space="preserve"> 1a. 10-14 years old</t>
  </si>
  <si>
    <t xml:space="preserve"> 3a. 10-14 years old</t>
  </si>
  <si>
    <t xml:space="preserve"> 1b. 15-19 years old</t>
  </si>
  <si>
    <t xml:space="preserve"> 3b. 15-19 years old</t>
  </si>
  <si>
    <t xml:space="preserve"> 1c. 20-49 years old</t>
  </si>
  <si>
    <t xml:space="preserve"> 3c. 20-49 years old</t>
  </si>
  <si>
    <t>2. No. of pregnant women tested positive for syphilis - Total</t>
  </si>
  <si>
    <t>4. No. of pregnant women screened reactive for HIV - Total</t>
  </si>
  <si>
    <t xml:space="preserve"> 2a. 10-14 years old</t>
  </si>
  <si>
    <t xml:space="preserve"> 4a. 10-14 years old</t>
  </si>
  <si>
    <t xml:space="preserve"> 2b. 15-19 years old</t>
  </si>
  <si>
    <t xml:space="preserve"> 4b. 15-19 years old</t>
  </si>
  <si>
    <t xml:space="preserve"> 2c. 20-49 years old</t>
  </si>
  <si>
    <t xml:space="preserve"> 4c. 20-49 years old</t>
  </si>
  <si>
    <t>SECTION C. VITAL STATISTICS</t>
  </si>
  <si>
    <t>Part I. Mortality</t>
  </si>
  <si>
    <t>Part II. Natality</t>
  </si>
  <si>
    <t>1. Maternal Mortality - Total</t>
  </si>
  <si>
    <t>1. Live births</t>
  </si>
  <si>
    <t>a. Direct</t>
  </si>
  <si>
    <t>2. Adolescent Birth Rate (ABR)</t>
  </si>
  <si>
    <t>a1. Resident</t>
  </si>
  <si>
    <t>a. &lt;10 years old</t>
  </si>
  <si>
    <t>a2. Non-Resident</t>
  </si>
  <si>
    <t>b. 10-14 years old</t>
  </si>
  <si>
    <t>b. Indirect</t>
  </si>
  <si>
    <t>c. 15-19 years old</t>
  </si>
  <si>
    <t>b1. Resident</t>
  </si>
  <si>
    <t>b2. Non-Resident</t>
  </si>
  <si>
    <t>2. Total Deaths</t>
  </si>
  <si>
    <t>3. Under-five Deaths</t>
  </si>
  <si>
    <t>4. Infant Deaths</t>
  </si>
  <si>
    <t>5. Neonatal Deaths</t>
  </si>
  <si>
    <t>6. Perinatal Deaths - Total</t>
  </si>
  <si>
    <t>6a. Fetal Deaths</t>
  </si>
  <si>
    <t>6b. Early Neonatal Deaths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</si>
</sst>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13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42"/>
      <color theme="1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b/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rgb="FFFFFFFF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21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/>
      <top style="thin">
        <color rgb="FF000000"/>
      </top>
      <bottom/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2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/>
    <xf numFmtId="0" fontId="5" fillId="2" borderId="15" xfId="0" quotePrefix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" fillId="0" borderId="16" xfId="0" applyFont="1" applyBorder="1" applyAlignment="1">
      <alignment vertical="center" wrapText="1"/>
    </xf>
    <xf numFmtId="0" fontId="1" fillId="0" borderId="16" xfId="0" applyFont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2" fillId="3" borderId="16" xfId="0" applyFont="1" applyFill="1" applyBorder="1" applyAlignment="1">
      <alignment vertical="center" wrapText="1"/>
    </xf>
    <xf numFmtId="0" fontId="5" fillId="2" borderId="20" xfId="0" quotePrefix="1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1" fillId="0" borderId="24" xfId="0" applyFont="1" applyBorder="1" applyAlignment="1">
      <alignment vertical="center" wrapText="1"/>
    </xf>
    <xf numFmtId="0" fontId="1" fillId="3" borderId="27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41" xfId="0" applyFont="1" applyBorder="1" applyAlignment="1">
      <alignment vertical="center"/>
    </xf>
    <xf numFmtId="0" fontId="1" fillId="0" borderId="41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/>
    </xf>
    <xf numFmtId="0" fontId="1" fillId="3" borderId="16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horizontal="center" vertical="center"/>
    </xf>
    <xf numFmtId="0" fontId="1" fillId="0" borderId="48" xfId="0" applyFont="1" applyBorder="1" applyAlignment="1">
      <alignment vertical="center" wrapText="1"/>
    </xf>
    <xf numFmtId="0" fontId="1" fillId="5" borderId="16" xfId="0" applyFont="1" applyFill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1" fillId="0" borderId="58" xfId="0" applyFont="1" applyBorder="1" applyAlignment="1">
      <alignment vertical="center" wrapText="1"/>
    </xf>
    <xf numFmtId="0" fontId="1" fillId="0" borderId="47" xfId="0" applyFont="1" applyBorder="1" applyAlignment="1">
      <alignment vertical="center" wrapText="1"/>
    </xf>
    <xf numFmtId="0" fontId="1" fillId="0" borderId="47" xfId="0" applyFont="1" applyBorder="1" applyAlignment="1">
      <alignment vertical="center"/>
    </xf>
    <xf numFmtId="0" fontId="2" fillId="3" borderId="59" xfId="0" applyFont="1" applyFill="1" applyBorder="1" applyAlignment="1">
      <alignment horizontal="center" vertical="center"/>
    </xf>
    <xf numFmtId="0" fontId="2" fillId="3" borderId="60" xfId="0" applyFont="1" applyFill="1" applyBorder="1" applyAlignment="1">
      <alignment horizontal="center" vertical="center"/>
    </xf>
    <xf numFmtId="164" fontId="5" fillId="2" borderId="20" xfId="0" applyNumberFormat="1" applyFont="1" applyFill="1" applyBorder="1" applyAlignment="1">
      <alignment horizontal="center" vertical="center"/>
    </xf>
    <xf numFmtId="0" fontId="1" fillId="4" borderId="65" xfId="0" applyFont="1" applyFill="1" applyBorder="1" applyAlignment="1">
      <alignment vertical="center"/>
    </xf>
    <xf numFmtId="0" fontId="1" fillId="4" borderId="66" xfId="0" applyFont="1" applyFill="1" applyBorder="1" applyAlignment="1">
      <alignment vertical="center"/>
    </xf>
    <xf numFmtId="0" fontId="1" fillId="0" borderId="68" xfId="0" applyFont="1" applyBorder="1" applyAlignment="1">
      <alignment wrapText="1"/>
    </xf>
    <xf numFmtId="0" fontId="1" fillId="0" borderId="69" xfId="0" applyFont="1" applyBorder="1"/>
    <xf numFmtId="0" fontId="2" fillId="3" borderId="69" xfId="0" applyFont="1" applyFill="1" applyBorder="1" applyAlignment="1">
      <alignment horizontal="center"/>
    </xf>
    <xf numFmtId="0" fontId="1" fillId="0" borderId="68" xfId="0" applyFont="1" applyBorder="1" applyAlignment="1">
      <alignment vertical="center" wrapText="1"/>
    </xf>
    <xf numFmtId="0" fontId="1" fillId="3" borderId="69" xfId="0" applyFont="1" applyFill="1" applyBorder="1"/>
    <xf numFmtId="0" fontId="1" fillId="0" borderId="74" xfId="0" applyFont="1" applyBorder="1" applyAlignment="1">
      <alignment wrapText="1"/>
    </xf>
    <xf numFmtId="0" fontId="1" fillId="0" borderId="16" xfId="0" applyFont="1" applyBorder="1"/>
    <xf numFmtId="0" fontId="2" fillId="3" borderId="16" xfId="0" applyFont="1" applyFill="1" applyBorder="1" applyAlignment="1">
      <alignment horizontal="center"/>
    </xf>
    <xf numFmtId="0" fontId="1" fillId="0" borderId="76" xfId="0" applyFont="1" applyBorder="1" applyAlignment="1">
      <alignment vertical="center" wrapText="1"/>
    </xf>
    <xf numFmtId="0" fontId="1" fillId="0" borderId="41" xfId="0" applyFont="1" applyBorder="1"/>
    <xf numFmtId="0" fontId="1" fillId="3" borderId="60" xfId="0" applyFont="1" applyFill="1" applyBorder="1"/>
    <xf numFmtId="0" fontId="1" fillId="0" borderId="78" xfId="0" applyFont="1" applyBorder="1" applyAlignment="1">
      <alignment wrapText="1"/>
    </xf>
    <xf numFmtId="0" fontId="1" fillId="0" borderId="79" xfId="0" applyFont="1" applyBorder="1"/>
    <xf numFmtId="0" fontId="2" fillId="3" borderId="79" xfId="0" applyFont="1" applyFill="1" applyBorder="1" applyAlignment="1">
      <alignment horizontal="center"/>
    </xf>
    <xf numFmtId="0" fontId="1" fillId="0" borderId="69" xfId="0" applyFont="1" applyBorder="1" applyAlignment="1">
      <alignment vertical="center"/>
    </xf>
    <xf numFmtId="0" fontId="2" fillId="3" borderId="69" xfId="0" applyFont="1" applyFill="1" applyBorder="1" applyAlignment="1">
      <alignment horizontal="center" vertical="center"/>
    </xf>
    <xf numFmtId="0" fontId="1" fillId="0" borderId="74" xfId="0" applyFont="1" applyBorder="1" applyAlignment="1">
      <alignment vertical="center" wrapText="1"/>
    </xf>
    <xf numFmtId="0" fontId="1" fillId="0" borderId="78" xfId="0" applyFont="1" applyBorder="1" applyAlignment="1">
      <alignment vertical="center" wrapText="1"/>
    </xf>
    <xf numFmtId="0" fontId="1" fillId="0" borderId="79" xfId="0" applyFont="1" applyBorder="1" applyAlignment="1">
      <alignment vertical="center"/>
    </xf>
    <xf numFmtId="0" fontId="2" fillId="3" borderId="79" xfId="0" applyFont="1" applyFill="1" applyBorder="1" applyAlignment="1">
      <alignment horizontal="center" vertical="center"/>
    </xf>
    <xf numFmtId="0" fontId="1" fillId="0" borderId="16" xfId="0" applyFont="1" applyBorder="1" applyAlignment="1">
      <alignment wrapText="1"/>
    </xf>
    <xf numFmtId="0" fontId="1" fillId="5" borderId="60" xfId="0" applyFont="1" applyFill="1" applyBorder="1" applyAlignment="1">
      <alignment vertical="center"/>
    </xf>
    <xf numFmtId="0" fontId="1" fillId="5" borderId="86" xfId="0" applyFont="1" applyFill="1" applyBorder="1" applyAlignment="1">
      <alignment vertical="center"/>
    </xf>
    <xf numFmtId="0" fontId="1" fillId="0" borderId="58" xfId="0" applyFont="1" applyBorder="1" applyAlignment="1">
      <alignment wrapText="1"/>
    </xf>
    <xf numFmtId="0" fontId="1" fillId="0" borderId="88" xfId="0" applyFont="1" applyBorder="1" applyAlignment="1">
      <alignment wrapText="1"/>
    </xf>
    <xf numFmtId="0" fontId="1" fillId="3" borderId="79" xfId="0" applyFont="1" applyFill="1" applyBorder="1" applyAlignment="1">
      <alignment vertical="center"/>
    </xf>
    <xf numFmtId="0" fontId="1" fillId="5" borderId="92" xfId="0" applyFont="1" applyFill="1" applyBorder="1" applyAlignment="1">
      <alignment vertical="center"/>
    </xf>
    <xf numFmtId="0" fontId="1" fillId="0" borderId="73" xfId="0" applyFont="1" applyBorder="1" applyAlignment="1">
      <alignment vertical="center"/>
    </xf>
    <xf numFmtId="0" fontId="1" fillId="3" borderId="69" xfId="0" applyFont="1" applyFill="1" applyBorder="1" applyAlignment="1">
      <alignment vertical="center"/>
    </xf>
    <xf numFmtId="0" fontId="8" fillId="0" borderId="93" xfId="0" applyFont="1" applyBorder="1" applyAlignment="1">
      <alignment vertical="center" wrapText="1"/>
    </xf>
    <xf numFmtId="0" fontId="1" fillId="0" borderId="11" xfId="0" applyFont="1" applyBorder="1" applyAlignment="1">
      <alignment vertical="center"/>
    </xf>
    <xf numFmtId="0" fontId="1" fillId="3" borderId="86" xfId="0" applyFont="1" applyFill="1" applyBorder="1" applyAlignment="1">
      <alignment vertical="center"/>
    </xf>
    <xf numFmtId="0" fontId="1" fillId="0" borderId="61" xfId="0" applyFont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1" fillId="3" borderId="60" xfId="0" applyFont="1" applyFill="1" applyBorder="1" applyAlignment="1">
      <alignment vertical="center"/>
    </xf>
    <xf numFmtId="0" fontId="8" fillId="0" borderId="94" xfId="0" applyFont="1" applyBorder="1" applyAlignment="1">
      <alignment vertical="center" wrapText="1"/>
    </xf>
    <xf numFmtId="0" fontId="1" fillId="0" borderId="95" xfId="0" applyFont="1" applyBorder="1" applyAlignment="1">
      <alignment vertical="center"/>
    </xf>
    <xf numFmtId="0" fontId="1" fillId="3" borderId="92" xfId="0" applyFont="1" applyFill="1" applyBorder="1" applyAlignment="1">
      <alignment vertical="center"/>
    </xf>
    <xf numFmtId="0" fontId="1" fillId="0" borderId="97" xfId="0" applyFont="1" applyBorder="1" applyAlignment="1">
      <alignment vertical="center"/>
    </xf>
    <xf numFmtId="0" fontId="8" fillId="0" borderId="98" xfId="0" applyFont="1" applyBorder="1" applyAlignment="1">
      <alignment vertical="center" wrapText="1"/>
    </xf>
    <xf numFmtId="0" fontId="1" fillId="5" borderId="99" xfId="0" applyFont="1" applyFill="1" applyBorder="1" applyAlignment="1">
      <alignment vertical="center"/>
    </xf>
    <xf numFmtId="0" fontId="1" fillId="0" borderId="100" xfId="0" applyFont="1" applyBorder="1" applyAlignment="1">
      <alignment vertical="center"/>
    </xf>
    <xf numFmtId="0" fontId="1" fillId="3" borderId="99" xfId="0" applyFont="1" applyFill="1" applyBorder="1" applyAlignment="1">
      <alignment vertical="center"/>
    </xf>
    <xf numFmtId="0" fontId="1" fillId="0" borderId="102" xfId="0" applyFont="1" applyBorder="1" applyAlignment="1">
      <alignment vertical="center"/>
    </xf>
    <xf numFmtId="164" fontId="9" fillId="2" borderId="109" xfId="0" applyNumberFormat="1" applyFont="1" applyFill="1" applyBorder="1" applyAlignment="1">
      <alignment horizontal="center" vertical="center"/>
    </xf>
    <xf numFmtId="0" fontId="9" fillId="2" borderId="109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0" fillId="8" borderId="86" xfId="0" applyFont="1" applyFill="1" applyBorder="1" applyAlignment="1">
      <alignment vertical="center"/>
    </xf>
    <xf numFmtId="0" fontId="8" fillId="0" borderId="61" xfId="0" applyFont="1" applyBorder="1" applyAlignment="1">
      <alignment vertical="center"/>
    </xf>
    <xf numFmtId="164" fontId="1" fillId="0" borderId="16" xfId="0" applyNumberFormat="1" applyFont="1" applyBorder="1" applyAlignment="1">
      <alignment vertical="center"/>
    </xf>
    <xf numFmtId="0" fontId="1" fillId="2" borderId="115" xfId="0" applyFont="1" applyFill="1" applyBorder="1" applyAlignment="1">
      <alignment vertical="center"/>
    </xf>
    <xf numFmtId="0" fontId="9" fillId="2" borderId="116" xfId="0" applyFont="1" applyFill="1" applyBorder="1" applyAlignment="1">
      <alignment horizontal="center" vertical="center"/>
    </xf>
    <xf numFmtId="0" fontId="8" fillId="0" borderId="47" xfId="0" applyFont="1" applyBorder="1" applyAlignment="1">
      <alignment vertical="center"/>
    </xf>
    <xf numFmtId="0" fontId="1" fillId="0" borderId="49" xfId="0" applyFont="1" applyBorder="1" applyAlignment="1">
      <alignment vertical="center"/>
    </xf>
    <xf numFmtId="0" fontId="1" fillId="0" borderId="41" xfId="0" applyFont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6" fillId="0" borderId="26" xfId="0" applyFont="1" applyBorder="1"/>
    <xf numFmtId="0" fontId="6" fillId="0" borderId="25" xfId="0" applyFont="1" applyBorder="1"/>
    <xf numFmtId="0" fontId="1" fillId="0" borderId="24" xfId="0" applyFont="1" applyBorder="1" applyAlignment="1">
      <alignment vertical="center" wrapText="1"/>
    </xf>
    <xf numFmtId="0" fontId="1" fillId="4" borderId="21" xfId="0" applyFont="1" applyFill="1" applyBorder="1" applyAlignment="1">
      <alignment vertical="center"/>
    </xf>
    <xf numFmtId="0" fontId="6" fillId="0" borderId="22" xfId="0" applyFont="1" applyBorder="1"/>
    <xf numFmtId="0" fontId="6" fillId="0" borderId="23" xfId="0" applyFont="1" applyBorder="1"/>
    <xf numFmtId="0" fontId="1" fillId="0" borderId="39" xfId="0" applyFont="1" applyBorder="1" applyAlignment="1">
      <alignment vertical="center" wrapText="1"/>
    </xf>
    <xf numFmtId="0" fontId="6" fillId="0" borderId="34" xfId="0" applyFont="1" applyBorder="1"/>
    <xf numFmtId="0" fontId="6" fillId="0" borderId="40" xfId="0" applyFont="1" applyBorder="1"/>
    <xf numFmtId="0" fontId="5" fillId="2" borderId="12" xfId="0" applyFont="1" applyFill="1" applyBorder="1" applyAlignment="1">
      <alignment horizontal="center" vertical="center" wrapText="1"/>
    </xf>
    <xf numFmtId="0" fontId="6" fillId="0" borderId="14" xfId="0" applyFont="1" applyBorder="1"/>
    <xf numFmtId="0" fontId="5" fillId="2" borderId="1" xfId="0" applyFont="1" applyFill="1" applyBorder="1" applyAlignment="1">
      <alignment horizontal="center" vertical="center"/>
    </xf>
    <xf numFmtId="0" fontId="6" fillId="0" borderId="3" xfId="0" applyFont="1" applyBorder="1"/>
    <xf numFmtId="0" fontId="5" fillId="2" borderId="1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5" fillId="2" borderId="4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vertical="center" wrapText="1"/>
    </xf>
    <xf numFmtId="0" fontId="2" fillId="4" borderId="52" xfId="0" applyFont="1" applyFill="1" applyBorder="1" applyAlignment="1">
      <alignment vertical="center" wrapText="1"/>
    </xf>
    <xf numFmtId="0" fontId="6" fillId="0" borderId="53" xfId="0" applyFont="1" applyBorder="1"/>
    <xf numFmtId="0" fontId="6" fillId="0" borderId="54" xfId="0" applyFont="1" applyBorder="1"/>
    <xf numFmtId="0" fontId="1" fillId="4" borderId="24" xfId="0" applyFont="1" applyFill="1" applyBorder="1" applyAlignment="1">
      <alignment vertical="center"/>
    </xf>
    <xf numFmtId="0" fontId="1" fillId="5" borderId="52" xfId="0" applyFont="1" applyFill="1" applyBorder="1" applyAlignment="1">
      <alignment vertical="center"/>
    </xf>
    <xf numFmtId="0" fontId="5" fillId="2" borderId="51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/>
    </xf>
    <xf numFmtId="0" fontId="6" fillId="0" borderId="18" xfId="0" applyFont="1" applyBorder="1"/>
    <xf numFmtId="0" fontId="6" fillId="0" borderId="19" xfId="0" applyFont="1" applyBorder="1"/>
    <xf numFmtId="0" fontId="5" fillId="2" borderId="44" xfId="0" applyFont="1" applyFill="1" applyBorder="1" applyAlignment="1">
      <alignment horizontal="center" vertical="center" wrapText="1"/>
    </xf>
    <xf numFmtId="0" fontId="6" fillId="0" borderId="45" xfId="0" applyFont="1" applyBorder="1"/>
    <xf numFmtId="0" fontId="6" fillId="0" borderId="46" xfId="0" applyFont="1" applyBorder="1"/>
    <xf numFmtId="0" fontId="5" fillId="2" borderId="44" xfId="0" applyFont="1" applyFill="1" applyBorder="1" applyAlignment="1">
      <alignment horizontal="center" vertical="center"/>
    </xf>
    <xf numFmtId="0" fontId="6" fillId="0" borderId="2" xfId="0" applyFont="1" applyBorder="1"/>
    <xf numFmtId="0" fontId="4" fillId="6" borderId="39" xfId="0" applyFont="1" applyFill="1" applyBorder="1" applyAlignment="1">
      <alignment horizontal="center"/>
    </xf>
    <xf numFmtId="0" fontId="6" fillId="0" borderId="55" xfId="0" applyFont="1" applyBorder="1"/>
    <xf numFmtId="0" fontId="6" fillId="0" borderId="56" xfId="0" applyFont="1" applyBorder="1"/>
    <xf numFmtId="0" fontId="6" fillId="0" borderId="57" xfId="0" applyFont="1" applyBorder="1"/>
    <xf numFmtId="0" fontId="9" fillId="2" borderId="117" xfId="0" applyFont="1" applyFill="1" applyBorder="1" applyAlignment="1">
      <alignment horizontal="center" vertical="center"/>
    </xf>
    <xf numFmtId="0" fontId="6" fillId="0" borderId="118" xfId="0" applyFont="1" applyBorder="1"/>
    <xf numFmtId="0" fontId="9" fillId="2" borderId="52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vertical="center"/>
    </xf>
    <xf numFmtId="0" fontId="5" fillId="2" borderId="17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0" fillId="0" borderId="0" xfId="0"/>
    <xf numFmtId="0" fontId="6" fillId="0" borderId="11" xfId="0" applyFont="1" applyBorder="1"/>
    <xf numFmtId="0" fontId="8" fillId="0" borderId="48" xfId="0" applyFont="1" applyBorder="1" applyAlignment="1">
      <alignment vertical="center"/>
    </xf>
    <xf numFmtId="0" fontId="6" fillId="0" borderId="38" xfId="0" applyFont="1" applyBorder="1"/>
    <xf numFmtId="0" fontId="6" fillId="0" borderId="49" xfId="0" applyFont="1" applyBorder="1"/>
    <xf numFmtId="0" fontId="1" fillId="4" borderId="107" xfId="0" applyFont="1" applyFill="1" applyBorder="1" applyAlignment="1">
      <alignment horizontal="center" vertical="center"/>
    </xf>
    <xf numFmtId="0" fontId="6" fillId="0" borderId="112" xfId="0" applyFont="1" applyBorder="1"/>
    <xf numFmtId="0" fontId="6" fillId="0" borderId="113" xfId="0" applyFont="1" applyBorder="1"/>
    <xf numFmtId="0" fontId="6" fillId="0" borderId="114" xfId="0" applyFont="1" applyBorder="1"/>
    <xf numFmtId="0" fontId="6" fillId="0" borderId="119" xfId="0" applyFont="1" applyBorder="1"/>
    <xf numFmtId="0" fontId="6" fillId="0" borderId="120" xfId="0" applyFont="1" applyBorder="1"/>
    <xf numFmtId="0" fontId="9" fillId="2" borderId="32" xfId="0" applyFont="1" applyFill="1" applyBorder="1" applyAlignment="1">
      <alignment horizontal="center" vertical="center" wrapText="1"/>
    </xf>
    <xf numFmtId="0" fontId="6" fillId="0" borderId="33" xfId="0" applyFont="1" applyBorder="1"/>
    <xf numFmtId="0" fontId="9" fillId="2" borderId="29" xfId="0" applyFont="1" applyFill="1" applyBorder="1" applyAlignment="1">
      <alignment horizontal="center" vertical="center"/>
    </xf>
    <xf numFmtId="0" fontId="6" fillId="0" borderId="30" xfId="0" applyFont="1" applyBorder="1"/>
    <xf numFmtId="0" fontId="6" fillId="0" borderId="31" xfId="0" applyFont="1" applyBorder="1"/>
    <xf numFmtId="0" fontId="10" fillId="8" borderId="90" xfId="0" applyFont="1" applyFill="1" applyBorder="1" applyAlignment="1">
      <alignment vertical="center"/>
    </xf>
    <xf numFmtId="0" fontId="6" fillId="0" borderId="91" xfId="0" applyFont="1" applyBorder="1"/>
    <xf numFmtId="0" fontId="1" fillId="0" borderId="70" xfId="0" applyFont="1" applyBorder="1" applyAlignment="1">
      <alignment vertical="center"/>
    </xf>
    <xf numFmtId="0" fontId="6" fillId="0" borderId="71" xfId="0" applyFont="1" applyBorder="1"/>
    <xf numFmtId="0" fontId="6" fillId="0" borderId="73" xfId="0" applyFont="1" applyBorder="1"/>
    <xf numFmtId="0" fontId="8" fillId="0" borderId="94" xfId="0" applyFont="1" applyBorder="1" applyAlignment="1">
      <alignment vertical="center" wrapText="1"/>
    </xf>
    <xf numFmtId="0" fontId="6" fillId="0" borderId="96" xfId="0" applyFont="1" applyBorder="1"/>
    <xf numFmtId="0" fontId="6" fillId="0" borderId="95" xfId="0" applyFont="1" applyBorder="1"/>
    <xf numFmtId="0" fontId="8" fillId="0" borderId="93" xfId="0" applyFont="1" applyBorder="1" applyAlignment="1">
      <alignment vertical="center" wrapText="1"/>
    </xf>
    <xf numFmtId="0" fontId="1" fillId="0" borderId="80" xfId="0" applyFont="1" applyBorder="1" applyAlignment="1">
      <alignment vertical="center"/>
    </xf>
    <xf numFmtId="0" fontId="6" fillId="0" borderId="81" xfId="0" applyFont="1" applyBorder="1"/>
    <xf numFmtId="0" fontId="6" fillId="0" borderId="89" xfId="0" applyFont="1" applyBorder="1"/>
    <xf numFmtId="0" fontId="8" fillId="0" borderId="98" xfId="0" applyFont="1" applyBorder="1" applyAlignment="1">
      <alignment vertical="center" wrapText="1"/>
    </xf>
    <xf numFmtId="0" fontId="6" fillId="0" borderId="101" xfId="0" applyFont="1" applyBorder="1"/>
    <xf numFmtId="0" fontId="6" fillId="0" borderId="100" xfId="0" applyFont="1" applyBorder="1"/>
    <xf numFmtId="0" fontId="9" fillId="2" borderId="104" xfId="0" applyFont="1" applyFill="1" applyBorder="1" applyAlignment="1">
      <alignment horizontal="center" vertical="center" wrapText="1"/>
    </xf>
    <xf numFmtId="0" fontId="6" fillId="0" borderId="105" xfId="0" applyFont="1" applyBorder="1"/>
    <xf numFmtId="0" fontId="9" fillId="2" borderId="106" xfId="0" applyFont="1" applyFill="1" applyBorder="1" applyAlignment="1">
      <alignment horizontal="center" vertical="center" wrapText="1"/>
    </xf>
    <xf numFmtId="0" fontId="6" fillId="0" borderId="108" xfId="0" applyFont="1" applyBorder="1"/>
    <xf numFmtId="0" fontId="9" fillId="2" borderId="32" xfId="0" applyFont="1" applyFill="1" applyBorder="1" applyAlignment="1">
      <alignment horizontal="center" vertical="center"/>
    </xf>
    <xf numFmtId="0" fontId="6" fillId="0" borderId="111" xfId="0" applyFont="1" applyBorder="1"/>
    <xf numFmtId="0" fontId="6" fillId="0" borderId="72" xfId="0" applyFont="1" applyBorder="1"/>
    <xf numFmtId="0" fontId="1" fillId="0" borderId="39" xfId="0" applyFont="1" applyBorder="1" applyAlignment="1">
      <alignment vertical="center"/>
    </xf>
    <xf numFmtId="0" fontId="6" fillId="0" borderId="77" xfId="0" applyFont="1" applyBorder="1"/>
    <xf numFmtId="0" fontId="1" fillId="0" borderId="76" xfId="0" applyFont="1" applyBorder="1" applyAlignment="1">
      <alignment vertical="center" wrapText="1"/>
    </xf>
    <xf numFmtId="0" fontId="2" fillId="4" borderId="68" xfId="0" applyFont="1" applyFill="1" applyBorder="1" applyAlignment="1">
      <alignment vertical="center" wrapText="1"/>
    </xf>
    <xf numFmtId="0" fontId="1" fillId="4" borderId="42" xfId="0" applyFont="1" applyFill="1" applyBorder="1" applyAlignment="1">
      <alignment vertical="center"/>
    </xf>
    <xf numFmtId="0" fontId="6" fillId="0" borderId="67" xfId="0" applyFont="1" applyBorder="1"/>
    <xf numFmtId="0" fontId="6" fillId="0" borderId="87" xfId="0" applyFont="1" applyBorder="1"/>
    <xf numFmtId="0" fontId="1" fillId="4" borderId="80" xfId="0" applyFont="1" applyFill="1" applyBorder="1" applyAlignment="1">
      <alignment vertical="center"/>
    </xf>
    <xf numFmtId="0" fontId="6" fillId="0" borderId="85" xfId="0" applyFont="1" applyBorder="1"/>
    <xf numFmtId="0" fontId="2" fillId="4" borderId="90" xfId="0" applyFont="1" applyFill="1" applyBorder="1" applyAlignment="1">
      <alignment vertical="center" wrapText="1"/>
    </xf>
    <xf numFmtId="0" fontId="9" fillId="2" borderId="107" xfId="0" applyFont="1" applyFill="1" applyBorder="1" applyAlignment="1">
      <alignment horizontal="center" vertical="center"/>
    </xf>
    <xf numFmtId="0" fontId="6" fillId="0" borderId="110" xfId="0" applyFont="1" applyBorder="1"/>
    <xf numFmtId="0" fontId="1" fillId="0" borderId="103" xfId="0" applyFont="1" applyBorder="1" applyAlignment="1">
      <alignment vertical="center"/>
    </xf>
    <xf numFmtId="0" fontId="6" fillId="0" borderId="83" xfId="0" applyFont="1" applyBorder="1"/>
    <xf numFmtId="0" fontId="6" fillId="0" borderId="84" xfId="0" applyFont="1" applyBorder="1"/>
    <xf numFmtId="0" fontId="1" fillId="0" borderId="68" xfId="0" applyFont="1" applyBorder="1" applyAlignment="1">
      <alignment vertical="center" wrapText="1"/>
    </xf>
    <xf numFmtId="0" fontId="1" fillId="0" borderId="24" xfId="0" applyFont="1" applyBorder="1" applyAlignment="1">
      <alignment wrapText="1"/>
    </xf>
    <xf numFmtId="0" fontId="6" fillId="0" borderId="43" xfId="0" applyFont="1" applyBorder="1"/>
    <xf numFmtId="0" fontId="1" fillId="4" borderId="78" xfId="0" applyFont="1" applyFill="1" applyBorder="1" applyAlignment="1">
      <alignment vertical="center"/>
    </xf>
    <xf numFmtId="0" fontId="2" fillId="4" borderId="21" xfId="0" applyFont="1" applyFill="1" applyBorder="1" applyAlignment="1">
      <alignment vertical="center" wrapText="1"/>
    </xf>
    <xf numFmtId="0" fontId="6" fillId="0" borderId="50" xfId="0" applyFont="1" applyBorder="1"/>
    <xf numFmtId="0" fontId="1" fillId="0" borderId="74" xfId="0" applyFont="1" applyBorder="1" applyAlignment="1">
      <alignment vertical="center" wrapText="1"/>
    </xf>
    <xf numFmtId="0" fontId="6" fillId="0" borderId="75" xfId="0" applyFont="1" applyBorder="1"/>
    <xf numFmtId="0" fontId="2" fillId="4" borderId="82" xfId="0" applyFont="1" applyFill="1" applyBorder="1" applyAlignment="1">
      <alignment vertical="center" wrapText="1"/>
    </xf>
    <xf numFmtId="0" fontId="1" fillId="0" borderId="39" xfId="0" applyFont="1" applyBorder="1"/>
    <xf numFmtId="0" fontId="1" fillId="4" borderId="82" xfId="0" applyFont="1" applyFill="1" applyBorder="1"/>
    <xf numFmtId="0" fontId="1" fillId="3" borderId="24" xfId="0" applyFont="1" applyFill="1" applyBorder="1" applyAlignment="1">
      <alignment vertical="center"/>
    </xf>
    <xf numFmtId="0" fontId="2" fillId="4" borderId="42" xfId="0" applyFont="1" applyFill="1" applyBorder="1" applyAlignment="1">
      <alignment vertical="center" wrapText="1"/>
    </xf>
    <xf numFmtId="0" fontId="1" fillId="0" borderId="70" xfId="0" applyFont="1" applyBorder="1"/>
    <xf numFmtId="0" fontId="1" fillId="0" borderId="24" xfId="0" applyFont="1" applyBorder="1"/>
    <xf numFmtId="0" fontId="1" fillId="0" borderId="80" xfId="0" applyFont="1" applyBorder="1"/>
    <xf numFmtId="0" fontId="6" fillId="0" borderId="13" xfId="0" applyFont="1" applyBorder="1"/>
    <xf numFmtId="0" fontId="6" fillId="0" borderId="63" xfId="0" applyFont="1" applyBorder="1"/>
    <xf numFmtId="0" fontId="6" fillId="0" borderId="64" xfId="0" applyFont="1" applyBorder="1"/>
    <xf numFmtId="164" fontId="5" fillId="2" borderId="1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 wrapText="1"/>
    </xf>
    <xf numFmtId="0" fontId="1" fillId="7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vertical="center"/>
    </xf>
    <xf numFmtId="0" fontId="6" fillId="0" borderId="10" xfId="0" applyFont="1" applyBorder="1"/>
    <xf numFmtId="0" fontId="6" fillId="0" borderId="48" xfId="0" applyFont="1" applyBorder="1"/>
    <xf numFmtId="0" fontId="1" fillId="7" borderId="39" xfId="0" applyFont="1" applyFill="1" applyBorder="1" applyAlignment="1">
      <alignment vertical="center"/>
    </xf>
    <xf numFmtId="0" fontId="6" fillId="0" borderId="62" xfId="0" applyFont="1" applyBorder="1"/>
    <xf numFmtId="0" fontId="1" fillId="0" borderId="48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41" xfId="0" applyFont="1" applyBorder="1" applyAlignment="1">
      <alignment horizontal="left" vertical="center" wrapText="1"/>
    </xf>
    <xf numFmtId="0" fontId="6" fillId="0" borderId="61" xfId="0" applyFont="1" applyBorder="1"/>
    <xf numFmtId="0" fontId="1" fillId="0" borderId="41" xfId="0" applyFont="1" applyBorder="1" applyAlignment="1">
      <alignment horizontal="center" vertical="center"/>
    </xf>
    <xf numFmtId="0" fontId="6" fillId="0" borderId="47" xfId="0" applyFont="1" applyBorder="1"/>
    <xf numFmtId="0" fontId="2" fillId="3" borderId="41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" fillId="0" borderId="48" xfId="0" applyFont="1" applyBorder="1" applyAlignment="1">
      <alignment vertical="center" wrapText="1"/>
    </xf>
    <xf numFmtId="0" fontId="2" fillId="0" borderId="48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3" borderId="42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66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 wrapText="1"/>
    </xf>
    <xf numFmtId="0" fontId="6" fillId="0" borderId="47" xfId="0" applyFont="1" applyBorder="1" applyAlignment="1">
      <alignment horizontal="center"/>
    </xf>
    <xf numFmtId="0" fontId="1" fillId="4" borderId="39" xfId="0" applyFont="1" applyFill="1" applyBorder="1" applyAlignment="1">
      <alignment vertical="center"/>
    </xf>
    <xf numFmtId="0" fontId="1" fillId="3" borderId="41" xfId="0" applyFont="1" applyFill="1" applyBorder="1" applyAlignment="1">
      <alignment horizontal="left" vertical="center" wrapText="1"/>
    </xf>
    <xf numFmtId="0" fontId="1" fillId="0" borderId="41" xfId="0" applyFont="1" applyBorder="1" applyAlignment="1">
      <alignment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6" fillId="0" borderId="35" xfId="0" applyFont="1" applyBorder="1"/>
    <xf numFmtId="0" fontId="5" fillId="2" borderId="32" xfId="0" applyFont="1" applyFill="1" applyBorder="1" applyAlignment="1">
      <alignment horizontal="center" vertical="center"/>
    </xf>
    <xf numFmtId="0" fontId="6" fillId="0" borderId="36" xfId="0" applyFont="1" applyBorder="1"/>
    <xf numFmtId="0" fontId="6" fillId="0" borderId="37" xfId="0" applyFont="1" applyBorder="1"/>
    <xf numFmtId="0" fontId="5" fillId="2" borderId="32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0</xdr:row>
      <xdr:rowOff>152400</xdr:rowOff>
    </xdr:from>
    <xdr:ext cx="895350" cy="8953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28725" cy="12763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  <outlinePr summaryBelow="0" summaryRight="0"/>
    <pageSetUpPr fitToPage="1"/>
  </sheetPr>
  <dimension ref="A1:Z1000"/>
  <sheetViews>
    <sheetView showGridLines="0" tabSelected="1" topLeftCell="A98" workbookViewId="0">
      <selection activeCell="A118" sqref="A118"/>
    </sheetView>
  </sheetViews>
  <sheetFormatPr defaultColWidth="14.42578125" defaultRowHeight="15" customHeight="1" outlineLevelRow="1" x14ac:dyDescent="0.25"/>
  <cols>
    <col min="1" max="1" width="29.7109375" customWidth="1"/>
    <col min="2" max="2" width="6.28515625" customWidth="1"/>
    <col min="3" max="3" width="8.28515625" customWidth="1"/>
    <col min="4" max="4" width="6.28515625" customWidth="1"/>
    <col min="5" max="5" width="8.140625" customWidth="1"/>
    <col min="6" max="8" width="6.85546875" customWidth="1"/>
    <col min="9" max="9" width="7.5703125" customWidth="1"/>
    <col min="10" max="11" width="6.85546875" customWidth="1"/>
    <col min="12" max="15" width="7.42578125" customWidth="1"/>
    <col min="16" max="16" width="9.140625" customWidth="1"/>
    <col min="17" max="17" width="8.7109375" customWidth="1"/>
    <col min="18" max="18" width="9" customWidth="1"/>
    <col min="19" max="24" width="6.85546875" customWidth="1"/>
    <col min="25" max="25" width="10.28515625" customWidth="1"/>
    <col min="26" max="26" width="12.5703125" customWidth="1"/>
  </cols>
  <sheetData>
    <row r="1" spans="1:26" ht="12.75" customHeight="1" x14ac:dyDescent="0.25">
      <c r="A1" s="249"/>
      <c r="B1" s="1"/>
      <c r="C1" s="1"/>
      <c r="D1" s="250" t="s">
        <v>0</v>
      </c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"/>
      <c r="T1" s="1"/>
      <c r="U1" s="251" t="s">
        <v>1</v>
      </c>
      <c r="V1" s="137"/>
      <c r="W1" s="137"/>
      <c r="X1" s="137"/>
      <c r="Y1" s="137"/>
      <c r="Z1" s="2"/>
    </row>
    <row r="2" spans="1:26" ht="12.75" customHeight="1" x14ac:dyDescent="0.25">
      <c r="A2" s="137"/>
      <c r="B2" s="1"/>
      <c r="C2" s="1"/>
      <c r="D2" s="250" t="s">
        <v>2</v>
      </c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"/>
      <c r="T2" s="1"/>
      <c r="U2" s="137"/>
      <c r="V2" s="137"/>
      <c r="W2" s="137"/>
      <c r="X2" s="137"/>
      <c r="Y2" s="137"/>
      <c r="Z2" s="2"/>
    </row>
    <row r="3" spans="1:26" ht="12.75" customHeight="1" x14ac:dyDescent="0.25">
      <c r="A3" s="137"/>
      <c r="B3" s="1"/>
      <c r="C3" s="1"/>
      <c r="D3" s="250" t="s">
        <v>3</v>
      </c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"/>
      <c r="T3" s="1"/>
      <c r="U3" s="137"/>
      <c r="V3" s="137"/>
      <c r="W3" s="137"/>
      <c r="X3" s="137"/>
      <c r="Y3" s="137"/>
      <c r="Z3" s="2"/>
    </row>
    <row r="4" spans="1:26" ht="12.75" customHeight="1" x14ac:dyDescent="0.25">
      <c r="A4" s="137"/>
      <c r="B4" s="1"/>
      <c r="C4" s="1"/>
      <c r="D4" s="250" t="s">
        <v>4</v>
      </c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"/>
      <c r="T4" s="1"/>
      <c r="U4" s="137"/>
      <c r="V4" s="137"/>
      <c r="W4" s="137"/>
      <c r="X4" s="137"/>
      <c r="Y4" s="137"/>
      <c r="Z4" s="2"/>
    </row>
    <row r="5" spans="1:26" ht="12.75" customHeight="1" x14ac:dyDescent="0.25">
      <c r="A5" s="137"/>
      <c r="B5" s="1"/>
      <c r="C5" s="1"/>
      <c r="D5" s="250" t="s">
        <v>5</v>
      </c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"/>
      <c r="T5" s="1"/>
      <c r="U5" s="137"/>
      <c r="V5" s="137"/>
      <c r="W5" s="137"/>
      <c r="X5" s="137"/>
      <c r="Y5" s="137"/>
      <c r="Z5" s="2"/>
    </row>
    <row r="6" spans="1:26" ht="12.75" customHeight="1" x14ac:dyDescent="0.25">
      <c r="A6" s="137"/>
      <c r="B6" s="1"/>
      <c r="C6" s="1"/>
      <c r="D6" s="250" t="s">
        <v>6</v>
      </c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"/>
      <c r="T6" s="1"/>
      <c r="U6" s="137"/>
      <c r="V6" s="137"/>
      <c r="W6" s="137"/>
      <c r="X6" s="137"/>
      <c r="Y6" s="137"/>
      <c r="Z6" s="2"/>
    </row>
    <row r="7" spans="1:26" ht="12.75" customHeight="1" x14ac:dyDescent="0.25">
      <c r="A7" s="137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37"/>
      <c r="V7" s="137"/>
      <c r="W7" s="137"/>
      <c r="X7" s="137"/>
      <c r="Y7" s="137"/>
      <c r="Z7" s="2"/>
    </row>
    <row r="8" spans="1:26" ht="12.75" customHeight="1" x14ac:dyDescent="0.25">
      <c r="A8" s="218" t="s">
        <v>7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03"/>
      <c r="Z8" s="2"/>
    </row>
    <row r="9" spans="1:26" ht="12.75" customHeight="1" outlineLevel="1" x14ac:dyDescent="0.25">
      <c r="A9" s="111" t="s">
        <v>8</v>
      </c>
      <c r="B9" s="106"/>
      <c r="C9" s="106"/>
      <c r="D9" s="107"/>
      <c r="E9" s="102" t="s">
        <v>9</v>
      </c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03"/>
      <c r="Q9" s="105" t="s">
        <v>10</v>
      </c>
      <c r="R9" s="106"/>
      <c r="S9" s="106"/>
      <c r="T9" s="107"/>
      <c r="U9" s="105" t="s">
        <v>11</v>
      </c>
      <c r="V9" s="106"/>
      <c r="W9" s="106"/>
      <c r="X9" s="106"/>
      <c r="Y9" s="107"/>
      <c r="Z9" s="2"/>
    </row>
    <row r="10" spans="1:26" ht="12.75" customHeight="1" outlineLevel="1" x14ac:dyDescent="0.25">
      <c r="A10" s="108"/>
      <c r="B10" s="109"/>
      <c r="C10" s="109"/>
      <c r="D10" s="110"/>
      <c r="E10" s="245" t="s">
        <v>12</v>
      </c>
      <c r="F10" s="126"/>
      <c r="G10" s="126"/>
      <c r="H10" s="103"/>
      <c r="I10" s="102" t="s">
        <v>13</v>
      </c>
      <c r="J10" s="126"/>
      <c r="K10" s="126"/>
      <c r="L10" s="103"/>
      <c r="M10" s="102" t="s">
        <v>14</v>
      </c>
      <c r="N10" s="126"/>
      <c r="O10" s="126"/>
      <c r="P10" s="103"/>
      <c r="Q10" s="108"/>
      <c r="R10" s="109"/>
      <c r="S10" s="109"/>
      <c r="T10" s="110"/>
      <c r="U10" s="108"/>
      <c r="V10" s="109"/>
      <c r="W10" s="109"/>
      <c r="X10" s="109"/>
      <c r="Y10" s="110"/>
      <c r="Z10" s="2"/>
    </row>
    <row r="11" spans="1:26" ht="51.75" customHeight="1" outlineLevel="1" x14ac:dyDescent="0.25">
      <c r="A11" s="248" t="s">
        <v>15</v>
      </c>
      <c r="B11" s="137"/>
      <c r="C11" s="137"/>
      <c r="D11" s="138"/>
      <c r="E11" s="246"/>
      <c r="F11" s="137"/>
      <c r="G11" s="137"/>
      <c r="H11" s="138"/>
      <c r="I11" s="246"/>
      <c r="J11" s="137"/>
      <c r="K11" s="137"/>
      <c r="L11" s="138"/>
      <c r="M11" s="246"/>
      <c r="N11" s="137"/>
      <c r="O11" s="137"/>
      <c r="P11" s="138"/>
      <c r="Q11" s="246"/>
      <c r="R11" s="137"/>
      <c r="S11" s="137"/>
      <c r="T11" s="138"/>
      <c r="U11" s="246"/>
      <c r="V11" s="137"/>
      <c r="W11" s="137"/>
      <c r="X11" s="137"/>
      <c r="Y11" s="138"/>
      <c r="Z11" s="2"/>
    </row>
    <row r="12" spans="1:26" ht="12.75" customHeight="1" outlineLevel="1" x14ac:dyDescent="0.25">
      <c r="A12" s="100" t="s">
        <v>16</v>
      </c>
      <c r="B12" s="111" t="s">
        <v>17</v>
      </c>
      <c r="C12" s="106"/>
      <c r="D12" s="106"/>
      <c r="E12" s="107"/>
      <c r="F12" s="102" t="s">
        <v>18</v>
      </c>
      <c r="G12" s="126"/>
      <c r="H12" s="126"/>
      <c r="I12" s="126"/>
      <c r="J12" s="126"/>
      <c r="K12" s="126"/>
      <c r="L12" s="126"/>
      <c r="M12" s="103"/>
      <c r="N12" s="111" t="s">
        <v>19</v>
      </c>
      <c r="O12" s="106"/>
      <c r="P12" s="106"/>
      <c r="Q12" s="107"/>
      <c r="R12" s="111" t="s">
        <v>20</v>
      </c>
      <c r="S12" s="106"/>
      <c r="T12" s="106"/>
      <c r="U12" s="107"/>
      <c r="V12" s="111" t="s">
        <v>21</v>
      </c>
      <c r="W12" s="106"/>
      <c r="X12" s="106"/>
      <c r="Y12" s="107"/>
      <c r="Z12" s="2"/>
    </row>
    <row r="13" spans="1:26" ht="12.75" customHeight="1" outlineLevel="1" x14ac:dyDescent="0.25">
      <c r="A13" s="206"/>
      <c r="B13" s="108"/>
      <c r="C13" s="109"/>
      <c r="D13" s="109"/>
      <c r="E13" s="110"/>
      <c r="F13" s="247" t="s">
        <v>22</v>
      </c>
      <c r="G13" s="126"/>
      <c r="H13" s="126"/>
      <c r="I13" s="103"/>
      <c r="J13" s="247" t="s">
        <v>23</v>
      </c>
      <c r="K13" s="126"/>
      <c r="L13" s="126"/>
      <c r="M13" s="103"/>
      <c r="N13" s="108"/>
      <c r="O13" s="109"/>
      <c r="P13" s="109"/>
      <c r="Q13" s="110"/>
      <c r="R13" s="108"/>
      <c r="S13" s="109"/>
      <c r="T13" s="109"/>
      <c r="U13" s="110"/>
      <c r="V13" s="108"/>
      <c r="W13" s="109"/>
      <c r="X13" s="109"/>
      <c r="Y13" s="110"/>
      <c r="Z13" s="2"/>
    </row>
    <row r="14" spans="1:26" ht="12.75" customHeight="1" outlineLevel="1" x14ac:dyDescent="0.25">
      <c r="A14" s="206"/>
      <c r="B14" s="102" t="s">
        <v>9</v>
      </c>
      <c r="C14" s="126"/>
      <c r="D14" s="103"/>
      <c r="E14" s="104" t="s">
        <v>24</v>
      </c>
      <c r="F14" s="102" t="s">
        <v>9</v>
      </c>
      <c r="G14" s="126"/>
      <c r="H14" s="103"/>
      <c r="I14" s="104" t="s">
        <v>24</v>
      </c>
      <c r="J14" s="102" t="s">
        <v>9</v>
      </c>
      <c r="K14" s="126"/>
      <c r="L14" s="103"/>
      <c r="M14" s="104" t="s">
        <v>24</v>
      </c>
      <c r="N14" s="102" t="s">
        <v>9</v>
      </c>
      <c r="O14" s="126"/>
      <c r="P14" s="103"/>
      <c r="Q14" s="104" t="s">
        <v>24</v>
      </c>
      <c r="R14" s="102" t="s">
        <v>9</v>
      </c>
      <c r="S14" s="126"/>
      <c r="T14" s="103"/>
      <c r="U14" s="104" t="s">
        <v>24</v>
      </c>
      <c r="V14" s="102" t="s">
        <v>9</v>
      </c>
      <c r="W14" s="126"/>
      <c r="X14" s="103"/>
      <c r="Y14" s="104" t="s">
        <v>24</v>
      </c>
      <c r="Z14" s="2"/>
    </row>
    <row r="15" spans="1:26" ht="12.75" customHeight="1" outlineLevel="1" x14ac:dyDescent="0.25">
      <c r="A15" s="101"/>
      <c r="B15" s="3" t="s">
        <v>25</v>
      </c>
      <c r="C15" s="4" t="s">
        <v>26</v>
      </c>
      <c r="D15" s="4" t="s">
        <v>27</v>
      </c>
      <c r="E15" s="101"/>
      <c r="F15" s="3" t="s">
        <v>25</v>
      </c>
      <c r="G15" s="4" t="s">
        <v>26</v>
      </c>
      <c r="H15" s="4" t="s">
        <v>27</v>
      </c>
      <c r="I15" s="101"/>
      <c r="J15" s="3" t="s">
        <v>25</v>
      </c>
      <c r="K15" s="4" t="s">
        <v>26</v>
      </c>
      <c r="L15" s="4" t="s">
        <v>27</v>
      </c>
      <c r="M15" s="101"/>
      <c r="N15" s="3" t="s">
        <v>25</v>
      </c>
      <c r="O15" s="4" t="s">
        <v>26</v>
      </c>
      <c r="P15" s="4" t="s">
        <v>27</v>
      </c>
      <c r="Q15" s="101"/>
      <c r="R15" s="3" t="s">
        <v>25</v>
      </c>
      <c r="S15" s="4" t="s">
        <v>26</v>
      </c>
      <c r="T15" s="4" t="s">
        <v>27</v>
      </c>
      <c r="U15" s="101"/>
      <c r="V15" s="3" t="s">
        <v>25</v>
      </c>
      <c r="W15" s="4" t="s">
        <v>26</v>
      </c>
      <c r="X15" s="4" t="s">
        <v>27</v>
      </c>
      <c r="Y15" s="101"/>
      <c r="Z15" s="2"/>
    </row>
    <row r="16" spans="1:26" ht="12.75" customHeight="1" outlineLevel="1" x14ac:dyDescent="0.25">
      <c r="A16" s="5" t="s">
        <v>28</v>
      </c>
      <c r="B16" s="14"/>
      <c r="C16" s="14"/>
      <c r="D16" s="14"/>
      <c r="E16" s="86">
        <f>SUM(B16:D16)</f>
        <v>0</v>
      </c>
      <c r="F16" s="14"/>
      <c r="G16" s="14"/>
      <c r="H16" s="14"/>
      <c r="I16" s="86">
        <f>SUM(F16:H16)</f>
        <v>0</v>
      </c>
      <c r="J16" s="14"/>
      <c r="K16" s="14"/>
      <c r="L16" s="14"/>
      <c r="M16" s="86">
        <f>SUM(J16:L16)</f>
        <v>0</v>
      </c>
      <c r="N16" s="14"/>
      <c r="O16" s="14"/>
      <c r="P16" s="14"/>
      <c r="Q16" s="86">
        <f>SUM(N16:P16)</f>
        <v>0</v>
      </c>
      <c r="R16" s="14">
        <f>B16+F16+J16-N16</f>
        <v>0</v>
      </c>
      <c r="S16" s="14">
        <f>C16+G16+K16-O16</f>
        <v>0</v>
      </c>
      <c r="T16" s="14">
        <f>D16+H16+L16-P16</f>
        <v>0</v>
      </c>
      <c r="U16" s="86">
        <f>SUM(R16:T16)</f>
        <v>0</v>
      </c>
      <c r="V16" s="14"/>
      <c r="W16" s="14"/>
      <c r="X16" s="14"/>
      <c r="Y16" s="89">
        <f>SUM(V16:X16)</f>
        <v>0</v>
      </c>
      <c r="Z16" s="2"/>
    </row>
    <row r="17" spans="1:26" ht="12.75" customHeight="1" outlineLevel="1" x14ac:dyDescent="0.25">
      <c r="A17" s="5" t="s">
        <v>29</v>
      </c>
      <c r="B17" s="14"/>
      <c r="C17" s="14"/>
      <c r="D17" s="14"/>
      <c r="E17" s="86">
        <f t="shared" ref="E17:E33" si="0">SUM(B17:D17)</f>
        <v>0</v>
      </c>
      <c r="F17" s="14"/>
      <c r="G17" s="14"/>
      <c r="H17" s="14"/>
      <c r="I17" s="86">
        <f t="shared" ref="I17:I33" si="1">SUM(F17:H17)</f>
        <v>0</v>
      </c>
      <c r="J17" s="14"/>
      <c r="K17" s="14"/>
      <c r="L17" s="14"/>
      <c r="M17" s="86">
        <f t="shared" ref="M17:M33" si="2">SUM(J17:L17)</f>
        <v>0</v>
      </c>
      <c r="N17" s="14"/>
      <c r="O17" s="14"/>
      <c r="P17" s="14"/>
      <c r="Q17" s="86">
        <f t="shared" ref="Q17:Q33" si="3">SUM(N17:P17)</f>
        <v>0</v>
      </c>
      <c r="R17" s="14">
        <f t="shared" ref="R17:R18" si="4">B17+F17+J17-N17</f>
        <v>0</v>
      </c>
      <c r="S17" s="14">
        <f t="shared" ref="S17:S18" si="5">C17+G17+K17-O17</f>
        <v>0</v>
      </c>
      <c r="T17" s="14">
        <f t="shared" ref="T17:T18" si="6">D17+H17+L17-P17</f>
        <v>0</v>
      </c>
      <c r="U17" s="86">
        <f t="shared" ref="U17:U33" si="7">SUM(R17:T17)</f>
        <v>0</v>
      </c>
      <c r="V17" s="14"/>
      <c r="W17" s="14"/>
      <c r="X17" s="14"/>
      <c r="Y17" s="89">
        <f t="shared" ref="Y17:Y34" si="8">SUM(V17:X17)</f>
        <v>0</v>
      </c>
      <c r="Z17" s="2"/>
    </row>
    <row r="18" spans="1:26" ht="12.75" customHeight="1" outlineLevel="1" x14ac:dyDescent="0.25">
      <c r="A18" s="5" t="s">
        <v>30</v>
      </c>
      <c r="B18" s="14"/>
      <c r="C18" s="14"/>
      <c r="D18" s="14"/>
      <c r="E18" s="86">
        <f t="shared" si="0"/>
        <v>0</v>
      </c>
      <c r="F18" s="14"/>
      <c r="G18" s="14"/>
      <c r="H18" s="14"/>
      <c r="I18" s="86">
        <f t="shared" si="1"/>
        <v>0</v>
      </c>
      <c r="J18" s="14"/>
      <c r="K18" s="14"/>
      <c r="L18" s="14"/>
      <c r="M18" s="86">
        <f t="shared" si="2"/>
        <v>0</v>
      </c>
      <c r="N18" s="14"/>
      <c r="O18" s="14"/>
      <c r="P18" s="14"/>
      <c r="Q18" s="86">
        <f t="shared" si="3"/>
        <v>0</v>
      </c>
      <c r="R18" s="14">
        <f t="shared" si="4"/>
        <v>0</v>
      </c>
      <c r="S18" s="14">
        <f t="shared" si="5"/>
        <v>0</v>
      </c>
      <c r="T18" s="14">
        <f t="shared" si="6"/>
        <v>0</v>
      </c>
      <c r="U18" s="86">
        <f t="shared" si="7"/>
        <v>0</v>
      </c>
      <c r="V18" s="14"/>
      <c r="W18" s="14"/>
      <c r="X18" s="14"/>
      <c r="Y18" s="89">
        <f t="shared" si="8"/>
        <v>0</v>
      </c>
      <c r="Z18" s="2"/>
    </row>
    <row r="19" spans="1:26" ht="12.75" customHeight="1" outlineLevel="1" x14ac:dyDescent="0.25">
      <c r="A19" s="5" t="s">
        <v>31</v>
      </c>
      <c r="B19" s="14">
        <f>SUM(B20:B21)</f>
        <v>0</v>
      </c>
      <c r="C19" s="14">
        <f>SUM(C20:C21)</f>
        <v>0</v>
      </c>
      <c r="D19" s="14">
        <f>SUM(D20:D21)</f>
        <v>0</v>
      </c>
      <c r="E19" s="86">
        <f t="shared" si="0"/>
        <v>0</v>
      </c>
      <c r="F19" s="14">
        <f>SUM(F20:F21)</f>
        <v>0</v>
      </c>
      <c r="G19" s="14">
        <f>SUM(G20:G21)</f>
        <v>0</v>
      </c>
      <c r="H19" s="14">
        <f>SUM(H20:H21)</f>
        <v>0</v>
      </c>
      <c r="I19" s="86">
        <f t="shared" si="1"/>
        <v>0</v>
      </c>
      <c r="J19" s="14">
        <f>SUM(J20:J21)</f>
        <v>0</v>
      </c>
      <c r="K19" s="14">
        <f>SUM(K20:K21)</f>
        <v>0</v>
      </c>
      <c r="L19" s="14">
        <f>SUM(L20:L21)</f>
        <v>0</v>
      </c>
      <c r="M19" s="86">
        <f t="shared" si="2"/>
        <v>0</v>
      </c>
      <c r="N19" s="14">
        <f>SUM(N20:N21)</f>
        <v>0</v>
      </c>
      <c r="O19" s="14">
        <f>SUM(O20:O21)</f>
        <v>0</v>
      </c>
      <c r="P19" s="14">
        <f>SUM(P20:P21)</f>
        <v>0</v>
      </c>
      <c r="Q19" s="86">
        <f t="shared" si="3"/>
        <v>0</v>
      </c>
      <c r="R19" s="14">
        <f>SUM(R20:R21)</f>
        <v>0</v>
      </c>
      <c r="S19" s="14">
        <f>SUM(S20:S21)</f>
        <v>0</v>
      </c>
      <c r="T19" s="14">
        <f>SUM(T20:T21)</f>
        <v>0</v>
      </c>
      <c r="U19" s="86">
        <f t="shared" si="7"/>
        <v>0</v>
      </c>
      <c r="V19" s="14">
        <f>SUM(V20:V21)</f>
        <v>0</v>
      </c>
      <c r="W19" s="14">
        <f>SUM(W20:W21)</f>
        <v>0</v>
      </c>
      <c r="X19" s="14">
        <f>SUM(X20:X21)</f>
        <v>0</v>
      </c>
      <c r="Y19" s="89">
        <f t="shared" si="8"/>
        <v>0</v>
      </c>
      <c r="Z19" s="2"/>
    </row>
    <row r="20" spans="1:26" ht="12.75" customHeight="1" outlineLevel="1" x14ac:dyDescent="0.25">
      <c r="A20" s="5" t="s">
        <v>32</v>
      </c>
      <c r="B20" s="14"/>
      <c r="C20" s="14"/>
      <c r="D20" s="14"/>
      <c r="E20" s="86">
        <f t="shared" si="0"/>
        <v>0</v>
      </c>
      <c r="F20" s="14"/>
      <c r="G20" s="14"/>
      <c r="H20" s="14"/>
      <c r="I20" s="86">
        <f t="shared" si="1"/>
        <v>0</v>
      </c>
      <c r="J20" s="14"/>
      <c r="K20" s="14"/>
      <c r="L20" s="14"/>
      <c r="M20" s="86">
        <f t="shared" si="2"/>
        <v>0</v>
      </c>
      <c r="N20" s="14"/>
      <c r="O20" s="14"/>
      <c r="P20" s="14"/>
      <c r="Q20" s="86">
        <f t="shared" si="3"/>
        <v>0</v>
      </c>
      <c r="R20" s="14">
        <f t="shared" ref="R20:R22" si="9">B20+F20+J20-N20</f>
        <v>0</v>
      </c>
      <c r="S20" s="14">
        <f t="shared" ref="S20:S22" si="10">C20+G20+K20-O20</f>
        <v>0</v>
      </c>
      <c r="T20" s="14">
        <f t="shared" ref="T20:T22" si="11">D20+H20+L20-P20</f>
        <v>0</v>
      </c>
      <c r="U20" s="86">
        <f t="shared" si="7"/>
        <v>0</v>
      </c>
      <c r="V20" s="14"/>
      <c r="W20" s="14"/>
      <c r="X20" s="14"/>
      <c r="Y20" s="89">
        <f t="shared" si="8"/>
        <v>0</v>
      </c>
      <c r="Z20" s="2"/>
    </row>
    <row r="21" spans="1:26" ht="12.75" customHeight="1" outlineLevel="1" x14ac:dyDescent="0.25">
      <c r="A21" s="5" t="s">
        <v>33</v>
      </c>
      <c r="B21" s="14"/>
      <c r="C21" s="14"/>
      <c r="D21" s="14"/>
      <c r="E21" s="86">
        <f t="shared" si="0"/>
        <v>0</v>
      </c>
      <c r="F21" s="14"/>
      <c r="G21" s="14"/>
      <c r="H21" s="14"/>
      <c r="I21" s="86">
        <f t="shared" si="1"/>
        <v>0</v>
      </c>
      <c r="J21" s="14"/>
      <c r="K21" s="14"/>
      <c r="L21" s="14"/>
      <c r="M21" s="86">
        <f t="shared" si="2"/>
        <v>0</v>
      </c>
      <c r="N21" s="14"/>
      <c r="O21" s="14"/>
      <c r="P21" s="14"/>
      <c r="Q21" s="86">
        <f t="shared" si="3"/>
        <v>0</v>
      </c>
      <c r="R21" s="14">
        <f t="shared" si="9"/>
        <v>0</v>
      </c>
      <c r="S21" s="14">
        <f t="shared" si="10"/>
        <v>0</v>
      </c>
      <c r="T21" s="14">
        <f t="shared" si="11"/>
        <v>0</v>
      </c>
      <c r="U21" s="86">
        <f t="shared" si="7"/>
        <v>0</v>
      </c>
      <c r="V21" s="14"/>
      <c r="W21" s="14"/>
      <c r="X21" s="14"/>
      <c r="Y21" s="89">
        <f t="shared" si="8"/>
        <v>0</v>
      </c>
      <c r="Z21" s="2"/>
    </row>
    <row r="22" spans="1:26" ht="12.75" customHeight="1" outlineLevel="1" x14ac:dyDescent="0.25">
      <c r="A22" s="5" t="s">
        <v>34</v>
      </c>
      <c r="B22" s="14"/>
      <c r="C22" s="14"/>
      <c r="D22" s="14"/>
      <c r="E22" s="86">
        <f t="shared" si="0"/>
        <v>0</v>
      </c>
      <c r="F22" s="14"/>
      <c r="G22" s="14"/>
      <c r="H22" s="14"/>
      <c r="I22" s="86">
        <f t="shared" si="1"/>
        <v>0</v>
      </c>
      <c r="J22" s="14"/>
      <c r="K22" s="14"/>
      <c r="L22" s="14"/>
      <c r="M22" s="86">
        <f t="shared" si="2"/>
        <v>0</v>
      </c>
      <c r="N22" s="14"/>
      <c r="O22" s="14"/>
      <c r="P22" s="14"/>
      <c r="Q22" s="86">
        <f t="shared" si="3"/>
        <v>0</v>
      </c>
      <c r="R22" s="14">
        <f t="shared" si="9"/>
        <v>0</v>
      </c>
      <c r="S22" s="14">
        <f t="shared" si="10"/>
        <v>0</v>
      </c>
      <c r="T22" s="14">
        <f t="shared" si="11"/>
        <v>0</v>
      </c>
      <c r="U22" s="86">
        <f t="shared" si="7"/>
        <v>0</v>
      </c>
      <c r="V22" s="14"/>
      <c r="W22" s="14"/>
      <c r="X22" s="14"/>
      <c r="Y22" s="89">
        <f t="shared" si="8"/>
        <v>0</v>
      </c>
      <c r="Z22" s="2"/>
    </row>
    <row r="23" spans="1:26" ht="12.75" customHeight="1" outlineLevel="1" x14ac:dyDescent="0.25">
      <c r="A23" s="5" t="s">
        <v>35</v>
      </c>
      <c r="B23" s="14">
        <f>SUM(B24:B25)</f>
        <v>0</v>
      </c>
      <c r="C23" s="14">
        <f>SUM(C24:C25)</f>
        <v>0</v>
      </c>
      <c r="D23" s="14">
        <f>SUM(D24:D25)</f>
        <v>0</v>
      </c>
      <c r="E23" s="86">
        <f t="shared" si="0"/>
        <v>0</v>
      </c>
      <c r="F23" s="14">
        <f>SUM(F24:F25)</f>
        <v>0</v>
      </c>
      <c r="G23" s="14">
        <f>SUM(G24:G25)</f>
        <v>0</v>
      </c>
      <c r="H23" s="14">
        <f>SUM(H24:H25)</f>
        <v>0</v>
      </c>
      <c r="I23" s="86">
        <f t="shared" si="1"/>
        <v>0</v>
      </c>
      <c r="J23" s="14">
        <f>SUM(J24:J25)</f>
        <v>0</v>
      </c>
      <c r="K23" s="14">
        <f>SUM(K24:K25)</f>
        <v>0</v>
      </c>
      <c r="L23" s="14">
        <f>SUM(L24:L25)</f>
        <v>0</v>
      </c>
      <c r="M23" s="86">
        <f t="shared" si="2"/>
        <v>0</v>
      </c>
      <c r="N23" s="14">
        <f>SUM(N24:N25)</f>
        <v>0</v>
      </c>
      <c r="O23" s="14">
        <f>SUM(O24:O25)</f>
        <v>0</v>
      </c>
      <c r="P23" s="14">
        <f>SUM(P24:P25)</f>
        <v>0</v>
      </c>
      <c r="Q23" s="86">
        <f t="shared" si="3"/>
        <v>0</v>
      </c>
      <c r="R23" s="14">
        <f>SUM(R24:R25)</f>
        <v>0</v>
      </c>
      <c r="S23" s="14">
        <f>SUM(S24:S25)</f>
        <v>0</v>
      </c>
      <c r="T23" s="14">
        <f>SUM(T24:T25)</f>
        <v>0</v>
      </c>
      <c r="U23" s="86">
        <f t="shared" si="7"/>
        <v>0</v>
      </c>
      <c r="V23" s="14">
        <f>SUM(V24:V25)</f>
        <v>0</v>
      </c>
      <c r="W23" s="14">
        <f>SUM(W24:W25)</f>
        <v>0</v>
      </c>
      <c r="X23" s="14">
        <f>SUM(X24:X25)</f>
        <v>0</v>
      </c>
      <c r="Y23" s="89">
        <f t="shared" si="8"/>
        <v>0</v>
      </c>
      <c r="Z23" s="2"/>
    </row>
    <row r="24" spans="1:26" ht="12.75" customHeight="1" outlineLevel="1" x14ac:dyDescent="0.25">
      <c r="A24" s="5" t="s">
        <v>36</v>
      </c>
      <c r="B24" s="14"/>
      <c r="C24" s="14"/>
      <c r="D24" s="14"/>
      <c r="E24" s="86">
        <f t="shared" si="0"/>
        <v>0</v>
      </c>
      <c r="F24" s="14"/>
      <c r="G24" s="14"/>
      <c r="H24" s="14"/>
      <c r="I24" s="86">
        <f t="shared" si="1"/>
        <v>0</v>
      </c>
      <c r="J24" s="14"/>
      <c r="K24" s="14"/>
      <c r="L24" s="14"/>
      <c r="M24" s="86">
        <f t="shared" si="2"/>
        <v>0</v>
      </c>
      <c r="N24" s="14"/>
      <c r="O24" s="14"/>
      <c r="P24" s="14"/>
      <c r="Q24" s="86">
        <f t="shared" si="3"/>
        <v>0</v>
      </c>
      <c r="R24" s="14">
        <f t="shared" ref="R24:R25" si="12">B24+F24+J24-N24</f>
        <v>0</v>
      </c>
      <c r="S24" s="14">
        <f t="shared" ref="S24:S25" si="13">C24+G24+K24-O24</f>
        <v>0</v>
      </c>
      <c r="T24" s="14">
        <f t="shared" ref="T24:T25" si="14">D24+H24+L24-P24</f>
        <v>0</v>
      </c>
      <c r="U24" s="86">
        <f t="shared" si="7"/>
        <v>0</v>
      </c>
      <c r="V24" s="14"/>
      <c r="W24" s="14"/>
      <c r="X24" s="14"/>
      <c r="Y24" s="89">
        <f t="shared" si="8"/>
        <v>0</v>
      </c>
      <c r="Z24" s="2"/>
    </row>
    <row r="25" spans="1:26" ht="12.75" customHeight="1" outlineLevel="1" x14ac:dyDescent="0.25">
      <c r="A25" s="5" t="s">
        <v>37</v>
      </c>
      <c r="B25" s="14"/>
      <c r="C25" s="14"/>
      <c r="D25" s="14"/>
      <c r="E25" s="86">
        <f t="shared" si="0"/>
        <v>0</v>
      </c>
      <c r="F25" s="14"/>
      <c r="G25" s="14"/>
      <c r="H25" s="14"/>
      <c r="I25" s="86">
        <f t="shared" si="1"/>
        <v>0</v>
      </c>
      <c r="J25" s="14"/>
      <c r="K25" s="14"/>
      <c r="L25" s="14"/>
      <c r="M25" s="86">
        <f t="shared" si="2"/>
        <v>0</v>
      </c>
      <c r="N25" s="14"/>
      <c r="O25" s="14"/>
      <c r="P25" s="14"/>
      <c r="Q25" s="86">
        <f t="shared" si="3"/>
        <v>0</v>
      </c>
      <c r="R25" s="14">
        <f t="shared" si="12"/>
        <v>0</v>
      </c>
      <c r="S25" s="14">
        <f t="shared" si="13"/>
        <v>0</v>
      </c>
      <c r="T25" s="14">
        <f t="shared" si="14"/>
        <v>0</v>
      </c>
      <c r="U25" s="86">
        <f t="shared" si="7"/>
        <v>0</v>
      </c>
      <c r="V25" s="14"/>
      <c r="W25" s="14"/>
      <c r="X25" s="14"/>
      <c r="Y25" s="89">
        <f t="shared" si="8"/>
        <v>0</v>
      </c>
      <c r="Z25" s="2"/>
    </row>
    <row r="26" spans="1:26" ht="12.75" customHeight="1" outlineLevel="1" x14ac:dyDescent="0.25">
      <c r="A26" s="5" t="s">
        <v>38</v>
      </c>
      <c r="B26" s="14">
        <f>SUM(B27:B28)</f>
        <v>0</v>
      </c>
      <c r="C26" s="14">
        <f>SUM(C27:C28)</f>
        <v>0</v>
      </c>
      <c r="D26" s="14">
        <f>SUM(D27:D28)</f>
        <v>0</v>
      </c>
      <c r="E26" s="86">
        <f t="shared" si="0"/>
        <v>0</v>
      </c>
      <c r="F26" s="14">
        <f>SUM(F27:F28)</f>
        <v>0</v>
      </c>
      <c r="G26" s="14">
        <f>SUM(G27:G28)</f>
        <v>0</v>
      </c>
      <c r="H26" s="14">
        <f>SUM(H27:H28)</f>
        <v>0</v>
      </c>
      <c r="I26" s="86">
        <f t="shared" si="1"/>
        <v>0</v>
      </c>
      <c r="J26" s="14">
        <f>SUM(J27:J28)</f>
        <v>0</v>
      </c>
      <c r="K26" s="14">
        <f>SUM(K27:K28)</f>
        <v>0</v>
      </c>
      <c r="L26" s="14">
        <f>SUM(L27:L28)</f>
        <v>0</v>
      </c>
      <c r="M26" s="86">
        <f t="shared" si="2"/>
        <v>0</v>
      </c>
      <c r="N26" s="14">
        <f>SUM(N27:N28)</f>
        <v>0</v>
      </c>
      <c r="O26" s="14">
        <f>SUM(O27:O28)</f>
        <v>0</v>
      </c>
      <c r="P26" s="14">
        <f>SUM(P27:P28)</f>
        <v>0</v>
      </c>
      <c r="Q26" s="86">
        <f t="shared" si="3"/>
        <v>0</v>
      </c>
      <c r="R26" s="14">
        <f>SUM(R27:R28)</f>
        <v>0</v>
      </c>
      <c r="S26" s="14">
        <f>SUM(S27:S28)</f>
        <v>0</v>
      </c>
      <c r="T26" s="14">
        <f>SUM(T27:T28)</f>
        <v>0</v>
      </c>
      <c r="U26" s="86">
        <f t="shared" si="7"/>
        <v>0</v>
      </c>
      <c r="V26" s="14">
        <f>SUM(V27:V28)</f>
        <v>0</v>
      </c>
      <c r="W26" s="14">
        <f>SUM(W27:W28)</f>
        <v>0</v>
      </c>
      <c r="X26" s="14">
        <f>SUM(X27:X28)</f>
        <v>0</v>
      </c>
      <c r="Y26" s="89">
        <f t="shared" si="8"/>
        <v>0</v>
      </c>
      <c r="Z26" s="2"/>
    </row>
    <row r="27" spans="1:26" ht="12.75" customHeight="1" outlineLevel="1" x14ac:dyDescent="0.25">
      <c r="A27" s="5" t="s">
        <v>39</v>
      </c>
      <c r="B27" s="14"/>
      <c r="C27" s="14"/>
      <c r="D27" s="14"/>
      <c r="E27" s="86">
        <f t="shared" si="0"/>
        <v>0</v>
      </c>
      <c r="F27" s="14"/>
      <c r="G27" s="14"/>
      <c r="H27" s="14"/>
      <c r="I27" s="86">
        <f t="shared" si="1"/>
        <v>0</v>
      </c>
      <c r="J27" s="14"/>
      <c r="K27" s="14"/>
      <c r="L27" s="14"/>
      <c r="M27" s="86">
        <f t="shared" si="2"/>
        <v>0</v>
      </c>
      <c r="N27" s="14"/>
      <c r="O27" s="14"/>
      <c r="P27" s="14"/>
      <c r="Q27" s="86">
        <f t="shared" si="3"/>
        <v>0</v>
      </c>
      <c r="R27" s="14">
        <f t="shared" ref="R27:R33" si="15">B27+F27+J27-N27</f>
        <v>0</v>
      </c>
      <c r="S27" s="14">
        <f t="shared" ref="S27:S33" si="16">C27+G27+K27-O27</f>
        <v>0</v>
      </c>
      <c r="T27" s="14">
        <f t="shared" ref="T27:T33" si="17">D27+H27+L27-P27</f>
        <v>0</v>
      </c>
      <c r="U27" s="86">
        <f t="shared" si="7"/>
        <v>0</v>
      </c>
      <c r="V27" s="14"/>
      <c r="W27" s="14"/>
      <c r="X27" s="14"/>
      <c r="Y27" s="89">
        <f t="shared" si="8"/>
        <v>0</v>
      </c>
      <c r="Z27" s="2"/>
    </row>
    <row r="28" spans="1:26" ht="12.75" customHeight="1" outlineLevel="1" x14ac:dyDescent="0.25">
      <c r="A28" s="5" t="s">
        <v>40</v>
      </c>
      <c r="B28" s="14"/>
      <c r="C28" s="14"/>
      <c r="D28" s="14"/>
      <c r="E28" s="86">
        <f t="shared" si="0"/>
        <v>0</v>
      </c>
      <c r="F28" s="14"/>
      <c r="G28" s="14"/>
      <c r="H28" s="14"/>
      <c r="I28" s="86">
        <f t="shared" si="1"/>
        <v>0</v>
      </c>
      <c r="J28" s="14"/>
      <c r="K28" s="14"/>
      <c r="L28" s="14"/>
      <c r="M28" s="86">
        <f t="shared" si="2"/>
        <v>0</v>
      </c>
      <c r="N28" s="14"/>
      <c r="O28" s="14"/>
      <c r="P28" s="14"/>
      <c r="Q28" s="86">
        <f t="shared" si="3"/>
        <v>0</v>
      </c>
      <c r="R28" s="14">
        <f t="shared" si="15"/>
        <v>0</v>
      </c>
      <c r="S28" s="14">
        <f t="shared" si="16"/>
        <v>0</v>
      </c>
      <c r="T28" s="14">
        <f t="shared" si="17"/>
        <v>0</v>
      </c>
      <c r="U28" s="86">
        <f t="shared" si="7"/>
        <v>0</v>
      </c>
      <c r="V28" s="14"/>
      <c r="W28" s="14"/>
      <c r="X28" s="14"/>
      <c r="Y28" s="89">
        <f t="shared" si="8"/>
        <v>0</v>
      </c>
      <c r="Z28" s="2"/>
    </row>
    <row r="29" spans="1:26" ht="12.75" customHeight="1" outlineLevel="1" x14ac:dyDescent="0.25">
      <c r="A29" s="5" t="s">
        <v>41</v>
      </c>
      <c r="B29" s="14"/>
      <c r="C29" s="14"/>
      <c r="D29" s="14"/>
      <c r="E29" s="86">
        <f t="shared" si="0"/>
        <v>0</v>
      </c>
      <c r="F29" s="14"/>
      <c r="G29" s="14"/>
      <c r="H29" s="14"/>
      <c r="I29" s="86">
        <f t="shared" si="1"/>
        <v>0</v>
      </c>
      <c r="J29" s="14"/>
      <c r="K29" s="14"/>
      <c r="L29" s="14"/>
      <c r="M29" s="86">
        <f t="shared" si="2"/>
        <v>0</v>
      </c>
      <c r="N29" s="14"/>
      <c r="O29" s="14"/>
      <c r="P29" s="14"/>
      <c r="Q29" s="86">
        <f t="shared" si="3"/>
        <v>0</v>
      </c>
      <c r="R29" s="14">
        <f t="shared" si="15"/>
        <v>0</v>
      </c>
      <c r="S29" s="14">
        <f t="shared" si="16"/>
        <v>0</v>
      </c>
      <c r="T29" s="14">
        <f t="shared" si="17"/>
        <v>0</v>
      </c>
      <c r="U29" s="86">
        <f t="shared" si="7"/>
        <v>0</v>
      </c>
      <c r="V29" s="14"/>
      <c r="W29" s="14"/>
      <c r="X29" s="14"/>
      <c r="Y29" s="89">
        <f t="shared" si="8"/>
        <v>0</v>
      </c>
      <c r="Z29" s="2"/>
    </row>
    <row r="30" spans="1:26" ht="12.75" customHeight="1" outlineLevel="1" x14ac:dyDescent="0.25">
      <c r="A30" s="5" t="s">
        <v>42</v>
      </c>
      <c r="B30" s="14"/>
      <c r="C30" s="14"/>
      <c r="D30" s="14"/>
      <c r="E30" s="86">
        <f t="shared" si="0"/>
        <v>0</v>
      </c>
      <c r="F30" s="14"/>
      <c r="G30" s="14"/>
      <c r="H30" s="14"/>
      <c r="I30" s="86">
        <f t="shared" si="1"/>
        <v>0</v>
      </c>
      <c r="J30" s="14"/>
      <c r="K30" s="14"/>
      <c r="L30" s="14"/>
      <c r="M30" s="86">
        <f t="shared" si="2"/>
        <v>0</v>
      </c>
      <c r="N30" s="14"/>
      <c r="O30" s="14"/>
      <c r="P30" s="14"/>
      <c r="Q30" s="86">
        <f t="shared" si="3"/>
        <v>0</v>
      </c>
      <c r="R30" s="14">
        <f t="shared" si="15"/>
        <v>0</v>
      </c>
      <c r="S30" s="14">
        <f t="shared" si="16"/>
        <v>0</v>
      </c>
      <c r="T30" s="14">
        <f t="shared" si="17"/>
        <v>0</v>
      </c>
      <c r="U30" s="86">
        <f t="shared" si="7"/>
        <v>0</v>
      </c>
      <c r="V30" s="14"/>
      <c r="W30" s="14"/>
      <c r="X30" s="14"/>
      <c r="Y30" s="89">
        <f t="shared" si="8"/>
        <v>0</v>
      </c>
      <c r="Z30" s="2"/>
    </row>
    <row r="31" spans="1:26" ht="12.75" customHeight="1" outlineLevel="1" x14ac:dyDescent="0.25">
      <c r="A31" s="5" t="s">
        <v>43</v>
      </c>
      <c r="B31" s="14"/>
      <c r="C31" s="14"/>
      <c r="D31" s="14"/>
      <c r="E31" s="86">
        <f t="shared" si="0"/>
        <v>0</v>
      </c>
      <c r="F31" s="14"/>
      <c r="G31" s="14"/>
      <c r="H31" s="14"/>
      <c r="I31" s="86">
        <f t="shared" si="1"/>
        <v>0</v>
      </c>
      <c r="J31" s="14"/>
      <c r="K31" s="14"/>
      <c r="L31" s="14"/>
      <c r="M31" s="86">
        <f t="shared" si="2"/>
        <v>0</v>
      </c>
      <c r="N31" s="14"/>
      <c r="O31" s="14"/>
      <c r="P31" s="14"/>
      <c r="Q31" s="86">
        <f t="shared" si="3"/>
        <v>0</v>
      </c>
      <c r="R31" s="14">
        <f t="shared" si="15"/>
        <v>0</v>
      </c>
      <c r="S31" s="14">
        <f t="shared" si="16"/>
        <v>0</v>
      </c>
      <c r="T31" s="14">
        <f t="shared" si="17"/>
        <v>0</v>
      </c>
      <c r="U31" s="86">
        <f t="shared" si="7"/>
        <v>0</v>
      </c>
      <c r="V31" s="14"/>
      <c r="W31" s="14"/>
      <c r="X31" s="14"/>
      <c r="Y31" s="89">
        <f t="shared" si="8"/>
        <v>0</v>
      </c>
      <c r="Z31" s="2"/>
    </row>
    <row r="32" spans="1:26" ht="12.75" customHeight="1" outlineLevel="1" x14ac:dyDescent="0.25">
      <c r="A32" s="5" t="s">
        <v>44</v>
      </c>
      <c r="B32" s="14"/>
      <c r="C32" s="14"/>
      <c r="D32" s="14"/>
      <c r="E32" s="86">
        <f t="shared" si="0"/>
        <v>0</v>
      </c>
      <c r="F32" s="14"/>
      <c r="G32" s="14"/>
      <c r="H32" s="14"/>
      <c r="I32" s="86">
        <f t="shared" si="1"/>
        <v>0</v>
      </c>
      <c r="J32" s="14"/>
      <c r="K32" s="14"/>
      <c r="L32" s="14"/>
      <c r="M32" s="86">
        <f t="shared" si="2"/>
        <v>0</v>
      </c>
      <c r="N32" s="14"/>
      <c r="O32" s="14"/>
      <c r="P32" s="14"/>
      <c r="Q32" s="86">
        <f t="shared" si="3"/>
        <v>0</v>
      </c>
      <c r="R32" s="14">
        <f t="shared" si="15"/>
        <v>0</v>
      </c>
      <c r="S32" s="14">
        <f t="shared" si="16"/>
        <v>0</v>
      </c>
      <c r="T32" s="14">
        <f t="shared" si="17"/>
        <v>0</v>
      </c>
      <c r="U32" s="86">
        <f t="shared" si="7"/>
        <v>0</v>
      </c>
      <c r="V32" s="14"/>
      <c r="W32" s="14"/>
      <c r="X32" s="14"/>
      <c r="Y32" s="89">
        <f t="shared" si="8"/>
        <v>0</v>
      </c>
      <c r="Z32" s="2"/>
    </row>
    <row r="33" spans="1:26" ht="12.75" customHeight="1" outlineLevel="1" x14ac:dyDescent="0.25">
      <c r="A33" s="5" t="s">
        <v>45</v>
      </c>
      <c r="B33" s="14"/>
      <c r="C33" s="14"/>
      <c r="D33" s="14"/>
      <c r="E33" s="86">
        <f t="shared" si="0"/>
        <v>0</v>
      </c>
      <c r="F33" s="14"/>
      <c r="G33" s="14"/>
      <c r="H33" s="14"/>
      <c r="I33" s="86">
        <f t="shared" si="1"/>
        <v>0</v>
      </c>
      <c r="J33" s="14"/>
      <c r="K33" s="14"/>
      <c r="L33" s="14"/>
      <c r="M33" s="86">
        <f t="shared" si="2"/>
        <v>0</v>
      </c>
      <c r="N33" s="14"/>
      <c r="O33" s="14"/>
      <c r="P33" s="14"/>
      <c r="Q33" s="86">
        <f t="shared" si="3"/>
        <v>0</v>
      </c>
      <c r="R33" s="14">
        <f t="shared" si="15"/>
        <v>0</v>
      </c>
      <c r="S33" s="14">
        <f t="shared" si="16"/>
        <v>0</v>
      </c>
      <c r="T33" s="14">
        <f t="shared" si="17"/>
        <v>0</v>
      </c>
      <c r="U33" s="86">
        <f t="shared" si="7"/>
        <v>0</v>
      </c>
      <c r="V33" s="14"/>
      <c r="W33" s="14"/>
      <c r="X33" s="14"/>
      <c r="Y33" s="89">
        <f t="shared" si="8"/>
        <v>0</v>
      </c>
      <c r="Z33" s="2"/>
    </row>
    <row r="34" spans="1:26" ht="12.75" customHeight="1" outlineLevel="1" x14ac:dyDescent="0.25">
      <c r="A34" s="8" t="s">
        <v>46</v>
      </c>
      <c r="B34" s="89">
        <f>SUM(B16:B19,B22:B23,B26,B29:B33)</f>
        <v>0</v>
      </c>
      <c r="C34" s="89">
        <f t="shared" ref="C34:X34" si="18">SUM(C16:C19,C22:C23,C26,C29:C33)</f>
        <v>0</v>
      </c>
      <c r="D34" s="89">
        <f t="shared" si="18"/>
        <v>0</v>
      </c>
      <c r="E34" s="89">
        <f t="shared" si="18"/>
        <v>0</v>
      </c>
      <c r="F34" s="89">
        <f t="shared" si="18"/>
        <v>0</v>
      </c>
      <c r="G34" s="89">
        <f t="shared" si="18"/>
        <v>0</v>
      </c>
      <c r="H34" s="89">
        <f t="shared" si="18"/>
        <v>0</v>
      </c>
      <c r="I34" s="89">
        <f t="shared" si="18"/>
        <v>0</v>
      </c>
      <c r="J34" s="89">
        <f t="shared" si="18"/>
        <v>0</v>
      </c>
      <c r="K34" s="89">
        <f t="shared" si="18"/>
        <v>0</v>
      </c>
      <c r="L34" s="89">
        <f t="shared" si="18"/>
        <v>0</v>
      </c>
      <c r="M34" s="89">
        <f t="shared" si="18"/>
        <v>0</v>
      </c>
      <c r="N34" s="89">
        <f t="shared" si="18"/>
        <v>0</v>
      </c>
      <c r="O34" s="89">
        <f t="shared" si="18"/>
        <v>0</v>
      </c>
      <c r="P34" s="89">
        <f t="shared" si="18"/>
        <v>0</v>
      </c>
      <c r="Q34" s="89">
        <f t="shared" si="18"/>
        <v>0</v>
      </c>
      <c r="R34" s="89">
        <f t="shared" si="18"/>
        <v>0</v>
      </c>
      <c r="S34" s="89">
        <f t="shared" si="18"/>
        <v>0</v>
      </c>
      <c r="T34" s="89">
        <f t="shared" si="18"/>
        <v>0</v>
      </c>
      <c r="U34" s="89">
        <f t="shared" si="18"/>
        <v>0</v>
      </c>
      <c r="V34" s="89">
        <f t="shared" si="18"/>
        <v>0</v>
      </c>
      <c r="W34" s="89">
        <f t="shared" si="18"/>
        <v>0</v>
      </c>
      <c r="X34" s="89">
        <f t="shared" si="18"/>
        <v>0</v>
      </c>
      <c r="Y34" s="89">
        <f t="shared" si="8"/>
        <v>0</v>
      </c>
      <c r="Z34" s="2"/>
    </row>
    <row r="35" spans="1:26" ht="12.75" customHeight="1" x14ac:dyDescent="0.25">
      <c r="A35" s="135" t="s">
        <v>47</v>
      </c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1"/>
      <c r="Z35" s="2"/>
    </row>
    <row r="36" spans="1:26" ht="12.75" customHeight="1" outlineLevel="1" x14ac:dyDescent="0.25">
      <c r="A36" s="100" t="s">
        <v>48</v>
      </c>
      <c r="B36" s="102" t="s">
        <v>9</v>
      </c>
      <c r="C36" s="126"/>
      <c r="D36" s="103"/>
      <c r="E36" s="105" t="s">
        <v>24</v>
      </c>
      <c r="F36" s="107"/>
      <c r="G36" s="111" t="s">
        <v>11</v>
      </c>
      <c r="H36" s="106"/>
      <c r="I36" s="106"/>
      <c r="J36" s="106"/>
      <c r="K36" s="107"/>
      <c r="L36" s="111" t="s">
        <v>48</v>
      </c>
      <c r="M36" s="106"/>
      <c r="N36" s="106"/>
      <c r="O36" s="106"/>
      <c r="P36" s="107"/>
      <c r="Q36" s="102" t="s">
        <v>9</v>
      </c>
      <c r="R36" s="126"/>
      <c r="S36" s="103"/>
      <c r="T36" s="105" t="s">
        <v>24</v>
      </c>
      <c r="U36" s="107"/>
      <c r="V36" s="111" t="s">
        <v>11</v>
      </c>
      <c r="W36" s="106"/>
      <c r="X36" s="106"/>
      <c r="Y36" s="107"/>
      <c r="Z36" s="2"/>
    </row>
    <row r="37" spans="1:26" ht="12.75" customHeight="1" outlineLevel="1" x14ac:dyDescent="0.25">
      <c r="A37" s="101"/>
      <c r="B37" s="9" t="s">
        <v>25</v>
      </c>
      <c r="C37" s="10" t="s">
        <v>26</v>
      </c>
      <c r="D37" s="10" t="s">
        <v>27</v>
      </c>
      <c r="E37" s="108"/>
      <c r="F37" s="110"/>
      <c r="G37" s="108"/>
      <c r="H37" s="109"/>
      <c r="I37" s="109"/>
      <c r="J37" s="109"/>
      <c r="K37" s="110"/>
      <c r="L37" s="108"/>
      <c r="M37" s="109"/>
      <c r="N37" s="109"/>
      <c r="O37" s="109"/>
      <c r="P37" s="110"/>
      <c r="Q37" s="9" t="s">
        <v>25</v>
      </c>
      <c r="R37" s="10" t="s">
        <v>26</v>
      </c>
      <c r="S37" s="10" t="s">
        <v>27</v>
      </c>
      <c r="T37" s="108"/>
      <c r="U37" s="110"/>
      <c r="V37" s="108"/>
      <c r="W37" s="109"/>
      <c r="X37" s="109"/>
      <c r="Y37" s="110"/>
      <c r="Z37" s="2"/>
    </row>
    <row r="38" spans="1:26" ht="12.75" customHeight="1" outlineLevel="1" x14ac:dyDescent="0.25">
      <c r="A38" s="194" t="s">
        <v>49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6"/>
      <c r="Z38" s="2"/>
    </row>
    <row r="39" spans="1:26" ht="45.75" customHeight="1" outlineLevel="1" x14ac:dyDescent="0.25">
      <c r="A39" s="11" t="s">
        <v>50</v>
      </c>
      <c r="B39" s="14"/>
      <c r="C39" s="14"/>
      <c r="D39" s="14"/>
      <c r="E39" s="244">
        <f>SUM(B39:D39)</f>
        <v>0</v>
      </c>
      <c r="F39" s="92"/>
      <c r="G39" s="90"/>
      <c r="H39" s="91"/>
      <c r="I39" s="91"/>
      <c r="J39" s="91"/>
      <c r="K39" s="92"/>
      <c r="L39" s="93" t="s">
        <v>51</v>
      </c>
      <c r="M39" s="91"/>
      <c r="N39" s="91"/>
      <c r="O39" s="91"/>
      <c r="P39" s="92"/>
      <c r="Q39" s="14"/>
      <c r="R39" s="14"/>
      <c r="S39" s="14"/>
      <c r="T39" s="212">
        <f>SUM(Q39:S39)</f>
        <v>0</v>
      </c>
      <c r="U39" s="92"/>
      <c r="V39" s="90"/>
      <c r="W39" s="91"/>
      <c r="X39" s="91"/>
      <c r="Y39" s="92"/>
      <c r="Z39" s="2"/>
    </row>
    <row r="40" spans="1:26" ht="45.75" customHeight="1" outlineLevel="1" x14ac:dyDescent="0.25">
      <c r="A40" s="12" t="s">
        <v>52</v>
      </c>
      <c r="B40" s="13">
        <f>SUM(B41:B42)</f>
        <v>0</v>
      </c>
      <c r="C40" s="13">
        <f>SUM(C41:C42)</f>
        <v>0</v>
      </c>
      <c r="D40" s="13">
        <f>SUM(D41:D42)</f>
        <v>0</v>
      </c>
      <c r="E40" s="244">
        <f>SUM(B40:D40)</f>
        <v>0</v>
      </c>
      <c r="F40" s="92"/>
      <c r="G40" s="90"/>
      <c r="H40" s="91"/>
      <c r="I40" s="91"/>
      <c r="J40" s="91"/>
      <c r="K40" s="92"/>
      <c r="L40" s="93" t="s">
        <v>53</v>
      </c>
      <c r="M40" s="91"/>
      <c r="N40" s="91"/>
      <c r="O40" s="91"/>
      <c r="P40" s="92"/>
      <c r="Q40" s="14"/>
      <c r="R40" s="14"/>
      <c r="S40" s="14"/>
      <c r="T40" s="212">
        <f t="shared" ref="T40:T43" si="19">SUM(Q40:S40)</f>
        <v>0</v>
      </c>
      <c r="U40" s="92"/>
      <c r="V40" s="90"/>
      <c r="W40" s="91"/>
      <c r="X40" s="91"/>
      <c r="Y40" s="92"/>
      <c r="Z40" s="2"/>
    </row>
    <row r="41" spans="1:26" ht="45.75" customHeight="1" outlineLevel="1" x14ac:dyDescent="0.25">
      <c r="A41" s="5" t="s">
        <v>54</v>
      </c>
      <c r="B41" s="14"/>
      <c r="C41" s="14"/>
      <c r="D41" s="14"/>
      <c r="E41" s="244">
        <f>SUM(B41:D41)</f>
        <v>0</v>
      </c>
      <c r="F41" s="92"/>
      <c r="G41" s="90"/>
      <c r="H41" s="91"/>
      <c r="I41" s="91"/>
      <c r="J41" s="91"/>
      <c r="K41" s="92"/>
      <c r="L41" s="93" t="s">
        <v>55</v>
      </c>
      <c r="M41" s="91"/>
      <c r="N41" s="91"/>
      <c r="O41" s="91"/>
      <c r="P41" s="92"/>
      <c r="Q41" s="14"/>
      <c r="R41" s="14"/>
      <c r="S41" s="14"/>
      <c r="T41" s="212">
        <f t="shared" si="19"/>
        <v>0</v>
      </c>
      <c r="U41" s="92"/>
      <c r="V41" s="90"/>
      <c r="W41" s="91"/>
      <c r="X41" s="91"/>
      <c r="Y41" s="92"/>
      <c r="Z41" s="2"/>
    </row>
    <row r="42" spans="1:26" ht="45.75" customHeight="1" outlineLevel="1" x14ac:dyDescent="0.25">
      <c r="A42" s="5" t="s">
        <v>56</v>
      </c>
      <c r="B42" s="14"/>
      <c r="C42" s="14"/>
      <c r="D42" s="14"/>
      <c r="E42" s="244">
        <f>SUM(B42:D42)</f>
        <v>0</v>
      </c>
      <c r="F42" s="92"/>
      <c r="G42" s="90"/>
      <c r="H42" s="91"/>
      <c r="I42" s="91"/>
      <c r="J42" s="91"/>
      <c r="K42" s="92"/>
      <c r="L42" s="93" t="s">
        <v>57</v>
      </c>
      <c r="M42" s="91"/>
      <c r="N42" s="91"/>
      <c r="O42" s="91"/>
      <c r="P42" s="92"/>
      <c r="Q42" s="14"/>
      <c r="R42" s="14"/>
      <c r="S42" s="14"/>
      <c r="T42" s="212">
        <f t="shared" si="19"/>
        <v>0</v>
      </c>
      <c r="U42" s="92"/>
      <c r="V42" s="90"/>
      <c r="W42" s="91"/>
      <c r="X42" s="91"/>
      <c r="Y42" s="92"/>
      <c r="Z42" s="2"/>
    </row>
    <row r="43" spans="1:26" ht="45.75" customHeight="1" outlineLevel="1" x14ac:dyDescent="0.25">
      <c r="A43" s="12" t="s">
        <v>58</v>
      </c>
      <c r="B43" s="13">
        <f>SUM(B41:B42)</f>
        <v>0</v>
      </c>
      <c r="C43" s="13">
        <f t="shared" ref="C43:D43" si="20">SUM(C41:C42)</f>
        <v>0</v>
      </c>
      <c r="D43" s="13">
        <f t="shared" si="20"/>
        <v>0</v>
      </c>
      <c r="E43" s="244">
        <f>SUM(B43:D43)</f>
        <v>0</v>
      </c>
      <c r="F43" s="92"/>
      <c r="G43" s="90"/>
      <c r="H43" s="91"/>
      <c r="I43" s="91"/>
      <c r="J43" s="91"/>
      <c r="K43" s="92"/>
      <c r="L43" s="93" t="s">
        <v>59</v>
      </c>
      <c r="M43" s="91"/>
      <c r="N43" s="91"/>
      <c r="O43" s="91"/>
      <c r="P43" s="92"/>
      <c r="Q43" s="14"/>
      <c r="R43" s="14"/>
      <c r="S43" s="14"/>
      <c r="T43" s="212">
        <f t="shared" si="19"/>
        <v>0</v>
      </c>
      <c r="U43" s="92"/>
      <c r="V43" s="90"/>
      <c r="W43" s="91"/>
      <c r="X43" s="91"/>
      <c r="Y43" s="92"/>
      <c r="Z43" s="2"/>
    </row>
    <row r="44" spans="1:26" ht="12.75" customHeight="1" outlineLevel="1" x14ac:dyDescent="0.25">
      <c r="A44" s="238" t="s">
        <v>48</v>
      </c>
      <c r="B44" s="225" t="s">
        <v>9</v>
      </c>
      <c r="C44" s="151"/>
      <c r="D44" s="152"/>
      <c r="E44" s="240" t="s">
        <v>24</v>
      </c>
      <c r="F44" s="149"/>
      <c r="G44" s="243" t="s">
        <v>11</v>
      </c>
      <c r="H44" s="98"/>
      <c r="I44" s="98"/>
      <c r="J44" s="98"/>
      <c r="K44" s="149"/>
      <c r="L44" s="243" t="s">
        <v>48</v>
      </c>
      <c r="M44" s="98"/>
      <c r="N44" s="98"/>
      <c r="O44" s="98"/>
      <c r="P44" s="149"/>
      <c r="Q44" s="225" t="s">
        <v>9</v>
      </c>
      <c r="R44" s="151"/>
      <c r="S44" s="152"/>
      <c r="T44" s="240" t="s">
        <v>24</v>
      </c>
      <c r="U44" s="149"/>
      <c r="V44" s="243" t="s">
        <v>11</v>
      </c>
      <c r="W44" s="98"/>
      <c r="X44" s="98"/>
      <c r="Y44" s="149"/>
      <c r="Z44" s="2"/>
    </row>
    <row r="45" spans="1:26" ht="12.75" customHeight="1" outlineLevel="1" x14ac:dyDescent="0.25">
      <c r="A45" s="239"/>
      <c r="B45" s="9" t="s">
        <v>25</v>
      </c>
      <c r="C45" s="10" t="s">
        <v>26</v>
      </c>
      <c r="D45" s="10" t="s">
        <v>27</v>
      </c>
      <c r="E45" s="241"/>
      <c r="F45" s="242"/>
      <c r="G45" s="241"/>
      <c r="H45" s="140"/>
      <c r="I45" s="140"/>
      <c r="J45" s="140"/>
      <c r="K45" s="242"/>
      <c r="L45" s="241"/>
      <c r="M45" s="140"/>
      <c r="N45" s="140"/>
      <c r="O45" s="140"/>
      <c r="P45" s="242"/>
      <c r="Q45" s="9" t="s">
        <v>25</v>
      </c>
      <c r="R45" s="10" t="s">
        <v>26</v>
      </c>
      <c r="S45" s="10" t="s">
        <v>27</v>
      </c>
      <c r="T45" s="241"/>
      <c r="U45" s="242"/>
      <c r="V45" s="241"/>
      <c r="W45" s="140"/>
      <c r="X45" s="140"/>
      <c r="Y45" s="242"/>
      <c r="Z45" s="2"/>
    </row>
    <row r="46" spans="1:26" ht="38.25" outlineLevel="1" x14ac:dyDescent="0.25">
      <c r="A46" s="5" t="s">
        <v>60</v>
      </c>
      <c r="B46" s="14"/>
      <c r="C46" s="14"/>
      <c r="D46" s="14"/>
      <c r="E46" s="212">
        <f>SUM(B46:D46)</f>
        <v>0</v>
      </c>
      <c r="F46" s="92"/>
      <c r="G46" s="90"/>
      <c r="H46" s="91"/>
      <c r="I46" s="91"/>
      <c r="J46" s="91"/>
      <c r="K46" s="92"/>
      <c r="L46" s="93" t="s">
        <v>61</v>
      </c>
      <c r="M46" s="91"/>
      <c r="N46" s="91"/>
      <c r="O46" s="91"/>
      <c r="P46" s="92"/>
      <c r="Q46" s="14"/>
      <c r="R46" s="14"/>
      <c r="S46" s="14"/>
      <c r="T46" s="212">
        <f>SUM(Q46:S46)</f>
        <v>0</v>
      </c>
      <c r="U46" s="92"/>
      <c r="V46" s="90"/>
      <c r="W46" s="91"/>
      <c r="X46" s="91"/>
      <c r="Y46" s="92"/>
      <c r="Z46" s="2"/>
    </row>
    <row r="47" spans="1:26" ht="25.5" outlineLevel="1" x14ac:dyDescent="0.25">
      <c r="A47" s="5" t="s">
        <v>62</v>
      </c>
      <c r="B47" s="14"/>
      <c r="C47" s="14"/>
      <c r="D47" s="14"/>
      <c r="E47" s="212">
        <f>SUM(B47:D47)</f>
        <v>0</v>
      </c>
      <c r="F47" s="92"/>
      <c r="G47" s="90"/>
      <c r="H47" s="91"/>
      <c r="I47" s="91"/>
      <c r="J47" s="91"/>
      <c r="K47" s="92"/>
      <c r="L47" s="93" t="s">
        <v>63</v>
      </c>
      <c r="M47" s="91"/>
      <c r="N47" s="91"/>
      <c r="O47" s="91"/>
      <c r="P47" s="92"/>
      <c r="Q47" s="14"/>
      <c r="R47" s="14"/>
      <c r="S47" s="14"/>
      <c r="T47" s="212">
        <f t="shared" ref="T47:T51" si="21">SUM(Q47:S47)</f>
        <v>0</v>
      </c>
      <c r="U47" s="92"/>
      <c r="V47" s="90"/>
      <c r="W47" s="91"/>
      <c r="X47" s="91"/>
      <c r="Y47" s="92"/>
      <c r="Z47" s="2"/>
    </row>
    <row r="48" spans="1:26" ht="25.5" outlineLevel="1" x14ac:dyDescent="0.25">
      <c r="A48" s="5" t="s">
        <v>64</v>
      </c>
      <c r="B48" s="14"/>
      <c r="C48" s="14"/>
      <c r="D48" s="14"/>
      <c r="E48" s="212">
        <f t="shared" ref="E48:E52" si="22">SUM(B48:D48)</f>
        <v>0</v>
      </c>
      <c r="F48" s="92"/>
      <c r="G48" s="90"/>
      <c r="H48" s="91"/>
      <c r="I48" s="91"/>
      <c r="J48" s="91"/>
      <c r="K48" s="92"/>
      <c r="L48" s="93" t="s">
        <v>65</v>
      </c>
      <c r="M48" s="91"/>
      <c r="N48" s="91"/>
      <c r="O48" s="91"/>
      <c r="P48" s="92"/>
      <c r="Q48" s="14"/>
      <c r="R48" s="14"/>
      <c r="S48" s="14"/>
      <c r="T48" s="212">
        <f t="shared" si="21"/>
        <v>0</v>
      </c>
      <c r="U48" s="92"/>
      <c r="V48" s="90"/>
      <c r="W48" s="91"/>
      <c r="X48" s="91"/>
      <c r="Y48" s="92"/>
      <c r="Z48" s="2"/>
    </row>
    <row r="49" spans="1:26" ht="38.25" outlineLevel="1" x14ac:dyDescent="0.25">
      <c r="A49" s="5" t="s">
        <v>66</v>
      </c>
      <c r="B49" s="14"/>
      <c r="C49" s="14"/>
      <c r="D49" s="14"/>
      <c r="E49" s="212">
        <f t="shared" si="22"/>
        <v>0</v>
      </c>
      <c r="F49" s="92"/>
      <c r="G49" s="90"/>
      <c r="H49" s="91"/>
      <c r="I49" s="91"/>
      <c r="J49" s="91"/>
      <c r="K49" s="92"/>
      <c r="L49" s="93" t="s">
        <v>67</v>
      </c>
      <c r="M49" s="91"/>
      <c r="N49" s="91"/>
      <c r="O49" s="91"/>
      <c r="P49" s="92"/>
      <c r="Q49" s="14"/>
      <c r="R49" s="14"/>
      <c r="S49" s="14"/>
      <c r="T49" s="212">
        <f t="shared" si="21"/>
        <v>0</v>
      </c>
      <c r="U49" s="92"/>
      <c r="V49" s="90"/>
      <c r="W49" s="91"/>
      <c r="X49" s="91"/>
      <c r="Y49" s="92"/>
      <c r="Z49" s="2"/>
    </row>
    <row r="50" spans="1:26" ht="38.25" outlineLevel="1" x14ac:dyDescent="0.25">
      <c r="A50" s="5" t="s">
        <v>68</v>
      </c>
      <c r="B50" s="14"/>
      <c r="C50" s="14"/>
      <c r="D50" s="14"/>
      <c r="E50" s="212">
        <f t="shared" si="22"/>
        <v>0</v>
      </c>
      <c r="F50" s="92"/>
      <c r="G50" s="90"/>
      <c r="H50" s="91"/>
      <c r="I50" s="91"/>
      <c r="J50" s="91"/>
      <c r="K50" s="92"/>
      <c r="L50" s="93" t="s">
        <v>69</v>
      </c>
      <c r="M50" s="91"/>
      <c r="N50" s="91"/>
      <c r="O50" s="91"/>
      <c r="P50" s="92"/>
      <c r="Q50" s="14"/>
      <c r="R50" s="14"/>
      <c r="S50" s="14"/>
      <c r="T50" s="212">
        <f t="shared" si="21"/>
        <v>0</v>
      </c>
      <c r="U50" s="92"/>
      <c r="V50" s="90"/>
      <c r="W50" s="91"/>
      <c r="X50" s="91"/>
      <c r="Y50" s="92"/>
      <c r="Z50" s="2"/>
    </row>
    <row r="51" spans="1:26" ht="38.25" outlineLevel="1" x14ac:dyDescent="0.25">
      <c r="A51" s="5" t="s">
        <v>70</v>
      </c>
      <c r="B51" s="14"/>
      <c r="C51" s="14"/>
      <c r="D51" s="14"/>
      <c r="E51" s="212">
        <f t="shared" si="22"/>
        <v>0</v>
      </c>
      <c r="F51" s="92"/>
      <c r="G51" s="175"/>
      <c r="H51" s="98"/>
      <c r="I51" s="98"/>
      <c r="J51" s="98"/>
      <c r="K51" s="99"/>
      <c r="L51" s="97" t="s">
        <v>71</v>
      </c>
      <c r="M51" s="98"/>
      <c r="N51" s="98"/>
      <c r="O51" s="98"/>
      <c r="P51" s="99"/>
      <c r="Q51" s="85"/>
      <c r="R51" s="85"/>
      <c r="S51" s="85"/>
      <c r="T51" s="212">
        <f t="shared" si="21"/>
        <v>0</v>
      </c>
      <c r="U51" s="92"/>
      <c r="V51" s="175"/>
      <c r="W51" s="98"/>
      <c r="X51" s="98"/>
      <c r="Y51" s="99"/>
      <c r="Z51" s="2"/>
    </row>
    <row r="52" spans="1:26" ht="51" outlineLevel="1" x14ac:dyDescent="0.25">
      <c r="A52" s="16" t="s">
        <v>72</v>
      </c>
      <c r="B52" s="85"/>
      <c r="C52" s="85"/>
      <c r="D52" s="85"/>
      <c r="E52" s="212">
        <f t="shared" si="22"/>
        <v>0</v>
      </c>
      <c r="F52" s="92"/>
      <c r="G52" s="90"/>
      <c r="H52" s="91"/>
      <c r="I52" s="91"/>
      <c r="J52" s="91"/>
      <c r="K52" s="92"/>
      <c r="L52" s="90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2"/>
      <c r="Z52" s="2"/>
    </row>
    <row r="53" spans="1:26" ht="12.75" customHeight="1" outlineLevel="1" x14ac:dyDescent="0.25">
      <c r="A53" s="100" t="s">
        <v>48</v>
      </c>
      <c r="B53" s="102" t="s">
        <v>9</v>
      </c>
      <c r="C53" s="126"/>
      <c r="D53" s="103"/>
      <c r="E53" s="105" t="s">
        <v>24</v>
      </c>
      <c r="F53" s="107"/>
      <c r="G53" s="111" t="s">
        <v>11</v>
      </c>
      <c r="H53" s="106"/>
      <c r="I53" s="106"/>
      <c r="J53" s="106"/>
      <c r="K53" s="107"/>
      <c r="L53" s="122" t="s">
        <v>48</v>
      </c>
      <c r="M53" s="123"/>
      <c r="N53" s="123"/>
      <c r="O53" s="123"/>
      <c r="P53" s="124"/>
      <c r="Q53" s="119" t="s">
        <v>9</v>
      </c>
      <c r="R53" s="120"/>
      <c r="S53" s="121"/>
      <c r="T53" s="125" t="s">
        <v>24</v>
      </c>
      <c r="U53" s="124"/>
      <c r="V53" s="122" t="s">
        <v>11</v>
      </c>
      <c r="W53" s="123"/>
      <c r="X53" s="123"/>
      <c r="Y53" s="124"/>
      <c r="Z53" s="2"/>
    </row>
    <row r="54" spans="1:26" ht="12.75" customHeight="1" outlineLevel="1" x14ac:dyDescent="0.25">
      <c r="A54" s="101"/>
      <c r="B54" s="9" t="s">
        <v>25</v>
      </c>
      <c r="C54" s="10" t="s">
        <v>26</v>
      </c>
      <c r="D54" s="10" t="s">
        <v>27</v>
      </c>
      <c r="E54" s="108"/>
      <c r="F54" s="110"/>
      <c r="G54" s="108"/>
      <c r="H54" s="109"/>
      <c r="I54" s="109"/>
      <c r="J54" s="109"/>
      <c r="K54" s="110"/>
      <c r="L54" s="108"/>
      <c r="M54" s="109"/>
      <c r="N54" s="109"/>
      <c r="O54" s="109"/>
      <c r="P54" s="110"/>
      <c r="Q54" s="9" t="s">
        <v>25</v>
      </c>
      <c r="R54" s="10" t="s">
        <v>26</v>
      </c>
      <c r="S54" s="10" t="s">
        <v>27</v>
      </c>
      <c r="T54" s="108"/>
      <c r="U54" s="110"/>
      <c r="V54" s="108"/>
      <c r="W54" s="109"/>
      <c r="X54" s="109"/>
      <c r="Y54" s="110"/>
      <c r="Z54" s="2"/>
    </row>
    <row r="55" spans="1:26" ht="12.75" customHeight="1" outlineLevel="1" x14ac:dyDescent="0.25">
      <c r="A55" s="194" t="s">
        <v>73</v>
      </c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6"/>
      <c r="Z55" s="2"/>
    </row>
    <row r="56" spans="1:26" ht="12.75" customHeight="1" outlineLevel="1" x14ac:dyDescent="0.25">
      <c r="A56" s="5" t="s">
        <v>74</v>
      </c>
      <c r="B56" s="86"/>
      <c r="C56" s="86"/>
      <c r="D56" s="86"/>
      <c r="E56" s="212">
        <f>SUM(B56:D56)</f>
        <v>0</v>
      </c>
      <c r="F56" s="92"/>
      <c r="G56" s="90"/>
      <c r="H56" s="91"/>
      <c r="I56" s="91"/>
      <c r="J56" s="91"/>
      <c r="K56" s="92"/>
      <c r="L56" s="201" t="s">
        <v>75</v>
      </c>
      <c r="M56" s="91"/>
      <c r="N56" s="91"/>
      <c r="O56" s="91"/>
      <c r="P56" s="92"/>
      <c r="Q56" s="13">
        <f>SUM(Q57:Q58)</f>
        <v>0</v>
      </c>
      <c r="R56" s="13">
        <f>SUM(R57:R58)</f>
        <v>0</v>
      </c>
      <c r="S56" s="13">
        <f>SUM(S57:S58)</f>
        <v>0</v>
      </c>
      <c r="T56" s="212">
        <f t="shared" ref="T56:T65" si="23">SUM(Q56:S56)</f>
        <v>0</v>
      </c>
      <c r="U56" s="92"/>
      <c r="V56" s="90"/>
      <c r="W56" s="91"/>
      <c r="X56" s="91"/>
      <c r="Y56" s="92"/>
      <c r="Z56" s="2"/>
    </row>
    <row r="57" spans="1:26" ht="12.75" customHeight="1" outlineLevel="1" x14ac:dyDescent="0.25">
      <c r="A57" s="5" t="s">
        <v>76</v>
      </c>
      <c r="B57" s="17"/>
      <c r="C57" s="17"/>
      <c r="D57" s="17"/>
      <c r="E57" s="212">
        <f t="shared" ref="E57:E60" si="24">SUM(B57:D57)</f>
        <v>0</v>
      </c>
      <c r="F57" s="92"/>
      <c r="G57" s="90"/>
      <c r="H57" s="91"/>
      <c r="I57" s="91"/>
      <c r="J57" s="91"/>
      <c r="K57" s="92"/>
      <c r="L57" s="90" t="s">
        <v>77</v>
      </c>
      <c r="M57" s="91"/>
      <c r="N57" s="91"/>
      <c r="O57" s="91"/>
      <c r="P57" s="92"/>
      <c r="Q57" s="14"/>
      <c r="R57" s="14"/>
      <c r="S57" s="14"/>
      <c r="T57" s="212">
        <f t="shared" si="23"/>
        <v>0</v>
      </c>
      <c r="U57" s="92"/>
      <c r="V57" s="90"/>
      <c r="W57" s="91"/>
      <c r="X57" s="91"/>
      <c r="Y57" s="92"/>
      <c r="Z57" s="2"/>
    </row>
    <row r="58" spans="1:26" ht="12.75" customHeight="1" outlineLevel="1" x14ac:dyDescent="0.25">
      <c r="A58" s="5" t="s">
        <v>78</v>
      </c>
      <c r="B58" s="14"/>
      <c r="C58" s="14"/>
      <c r="D58" s="14"/>
      <c r="E58" s="212">
        <f t="shared" si="24"/>
        <v>0</v>
      </c>
      <c r="F58" s="92"/>
      <c r="G58" s="90"/>
      <c r="H58" s="91"/>
      <c r="I58" s="91"/>
      <c r="J58" s="91"/>
      <c r="K58" s="92"/>
      <c r="L58" s="90" t="s">
        <v>79</v>
      </c>
      <c r="M58" s="91"/>
      <c r="N58" s="91"/>
      <c r="O58" s="91"/>
      <c r="P58" s="92"/>
      <c r="Q58" s="14"/>
      <c r="R58" s="14"/>
      <c r="S58" s="14"/>
      <c r="T58" s="212">
        <f t="shared" si="23"/>
        <v>0</v>
      </c>
      <c r="U58" s="92"/>
      <c r="V58" s="90"/>
      <c r="W58" s="91"/>
      <c r="X58" s="91"/>
      <c r="Y58" s="92"/>
      <c r="Z58" s="2"/>
    </row>
    <row r="59" spans="1:26" ht="12.75" customHeight="1" outlineLevel="1" x14ac:dyDescent="0.25">
      <c r="A59" s="5" t="s">
        <v>80</v>
      </c>
      <c r="B59" s="14"/>
      <c r="C59" s="14"/>
      <c r="D59" s="14"/>
      <c r="E59" s="212">
        <f t="shared" si="24"/>
        <v>0</v>
      </c>
      <c r="F59" s="92"/>
      <c r="G59" s="90"/>
      <c r="H59" s="91"/>
      <c r="I59" s="91"/>
      <c r="J59" s="91"/>
      <c r="K59" s="92"/>
      <c r="L59" s="90" t="s">
        <v>81</v>
      </c>
      <c r="M59" s="91"/>
      <c r="N59" s="91"/>
      <c r="O59" s="91"/>
      <c r="P59" s="92"/>
      <c r="Q59" s="14"/>
      <c r="R59" s="14"/>
      <c r="S59" s="14"/>
      <c r="T59" s="212">
        <f t="shared" si="23"/>
        <v>0</v>
      </c>
      <c r="U59" s="92"/>
      <c r="V59" s="90"/>
      <c r="W59" s="91"/>
      <c r="X59" s="91"/>
      <c r="Y59" s="92"/>
      <c r="Z59" s="2"/>
    </row>
    <row r="60" spans="1:26" ht="12.75" customHeight="1" outlineLevel="1" x14ac:dyDescent="0.25">
      <c r="A60" s="5" t="s">
        <v>82</v>
      </c>
      <c r="B60" s="14"/>
      <c r="C60" s="14"/>
      <c r="D60" s="14"/>
      <c r="E60" s="212">
        <f t="shared" si="24"/>
        <v>0</v>
      </c>
      <c r="F60" s="92"/>
      <c r="G60" s="90"/>
      <c r="H60" s="91"/>
      <c r="I60" s="91"/>
      <c r="J60" s="91"/>
      <c r="K60" s="92"/>
      <c r="L60" s="90" t="s">
        <v>83</v>
      </c>
      <c r="M60" s="91"/>
      <c r="N60" s="91"/>
      <c r="O60" s="91"/>
      <c r="P60" s="92"/>
      <c r="Q60" s="14"/>
      <c r="R60" s="14"/>
      <c r="S60" s="14"/>
      <c r="T60" s="212">
        <f t="shared" si="23"/>
        <v>0</v>
      </c>
      <c r="U60" s="92"/>
      <c r="V60" s="90"/>
      <c r="W60" s="91"/>
      <c r="X60" s="91"/>
      <c r="Y60" s="92"/>
      <c r="Z60" s="2"/>
    </row>
    <row r="61" spans="1:26" ht="12.75" customHeight="1" outlineLevel="1" x14ac:dyDescent="0.25">
      <c r="A61" s="237" t="s">
        <v>84</v>
      </c>
      <c r="B61" s="221"/>
      <c r="C61" s="221"/>
      <c r="D61" s="221"/>
      <c r="E61" s="229">
        <v>0</v>
      </c>
      <c r="F61" s="230"/>
      <c r="G61" s="175"/>
      <c r="H61" s="98"/>
      <c r="I61" s="98"/>
      <c r="J61" s="98"/>
      <c r="K61" s="99"/>
      <c r="L61" s="93" t="s">
        <v>85</v>
      </c>
      <c r="M61" s="91"/>
      <c r="N61" s="91"/>
      <c r="O61" s="91"/>
      <c r="P61" s="92"/>
      <c r="Q61" s="14"/>
      <c r="R61" s="14"/>
      <c r="S61" s="14"/>
      <c r="T61" s="212">
        <f t="shared" si="23"/>
        <v>0</v>
      </c>
      <c r="U61" s="92"/>
      <c r="V61" s="90"/>
      <c r="W61" s="91"/>
      <c r="X61" s="91"/>
      <c r="Y61" s="92"/>
      <c r="Z61" s="2"/>
    </row>
    <row r="62" spans="1:26" ht="12.75" customHeight="1" outlineLevel="1" x14ac:dyDescent="0.25">
      <c r="A62" s="222"/>
      <c r="B62" s="234"/>
      <c r="C62" s="234"/>
      <c r="D62" s="234"/>
      <c r="E62" s="231"/>
      <c r="F62" s="232"/>
      <c r="G62" s="214"/>
      <c r="H62" s="140"/>
      <c r="I62" s="140"/>
      <c r="J62" s="140"/>
      <c r="K62" s="141"/>
      <c r="L62" s="90" t="s">
        <v>86</v>
      </c>
      <c r="M62" s="91"/>
      <c r="N62" s="91"/>
      <c r="O62" s="91"/>
      <c r="P62" s="92"/>
      <c r="Q62" s="14"/>
      <c r="R62" s="14"/>
      <c r="S62" s="14"/>
      <c r="T62" s="212">
        <f t="shared" si="23"/>
        <v>0</v>
      </c>
      <c r="U62" s="92"/>
      <c r="V62" s="90"/>
      <c r="W62" s="91"/>
      <c r="X62" s="91"/>
      <c r="Y62" s="92"/>
      <c r="Z62" s="2"/>
    </row>
    <row r="63" spans="1:26" ht="12.75" customHeight="1" outlineLevel="1" x14ac:dyDescent="0.25">
      <c r="A63" s="5" t="s">
        <v>87</v>
      </c>
      <c r="B63" s="14"/>
      <c r="C63" s="14"/>
      <c r="D63" s="14"/>
      <c r="E63" s="212">
        <f>SUM(B63:D63)</f>
        <v>0</v>
      </c>
      <c r="F63" s="92"/>
      <c r="G63" s="90"/>
      <c r="H63" s="91"/>
      <c r="I63" s="91"/>
      <c r="J63" s="91"/>
      <c r="K63" s="92"/>
      <c r="L63" s="90" t="s">
        <v>88</v>
      </c>
      <c r="M63" s="91"/>
      <c r="N63" s="91"/>
      <c r="O63" s="91"/>
      <c r="P63" s="92"/>
      <c r="Q63" s="14"/>
      <c r="R63" s="14"/>
      <c r="S63" s="14"/>
      <c r="T63" s="212">
        <f t="shared" si="23"/>
        <v>0</v>
      </c>
      <c r="U63" s="92"/>
      <c r="V63" s="90"/>
      <c r="W63" s="91"/>
      <c r="X63" s="91"/>
      <c r="Y63" s="92"/>
      <c r="Z63" s="2"/>
    </row>
    <row r="64" spans="1:26" ht="12.75" customHeight="1" outlineLevel="1" x14ac:dyDescent="0.25">
      <c r="A64" s="5" t="s">
        <v>89</v>
      </c>
      <c r="B64" s="14"/>
      <c r="C64" s="14"/>
      <c r="D64" s="14"/>
      <c r="E64" s="212">
        <f>SUM(B64:D64)</f>
        <v>0</v>
      </c>
      <c r="F64" s="92"/>
      <c r="G64" s="90"/>
      <c r="H64" s="91"/>
      <c r="I64" s="91"/>
      <c r="J64" s="91"/>
      <c r="K64" s="92"/>
      <c r="L64" s="90" t="s">
        <v>90</v>
      </c>
      <c r="M64" s="91"/>
      <c r="N64" s="91"/>
      <c r="O64" s="91"/>
      <c r="P64" s="92"/>
      <c r="Q64" s="14"/>
      <c r="R64" s="14"/>
      <c r="S64" s="14"/>
      <c r="T64" s="212">
        <f t="shared" si="23"/>
        <v>0</v>
      </c>
      <c r="U64" s="92"/>
      <c r="V64" s="90"/>
      <c r="W64" s="91"/>
      <c r="X64" s="91"/>
      <c r="Y64" s="92"/>
      <c r="Z64" s="2"/>
    </row>
    <row r="65" spans="1:26" ht="12.75" customHeight="1" outlineLevel="1" x14ac:dyDescent="0.25">
      <c r="A65" s="16" t="s">
        <v>91</v>
      </c>
      <c r="B65" s="85"/>
      <c r="C65" s="85"/>
      <c r="D65" s="85"/>
      <c r="E65" s="212">
        <f>SUM(B65:D65)</f>
        <v>0</v>
      </c>
      <c r="F65" s="92"/>
      <c r="G65" s="175"/>
      <c r="H65" s="98"/>
      <c r="I65" s="98"/>
      <c r="J65" s="98"/>
      <c r="K65" s="99"/>
      <c r="L65" s="175" t="s">
        <v>92</v>
      </c>
      <c r="M65" s="98"/>
      <c r="N65" s="98"/>
      <c r="O65" s="98"/>
      <c r="P65" s="99"/>
      <c r="Q65" s="85"/>
      <c r="R65" s="85"/>
      <c r="S65" s="85"/>
      <c r="T65" s="212">
        <f t="shared" si="23"/>
        <v>0</v>
      </c>
      <c r="U65" s="92"/>
      <c r="V65" s="175"/>
      <c r="W65" s="98"/>
      <c r="X65" s="98"/>
      <c r="Y65" s="99"/>
      <c r="Z65" s="2"/>
    </row>
    <row r="66" spans="1:26" ht="12.75" customHeight="1" outlineLevel="1" x14ac:dyDescent="0.25">
      <c r="A66" s="100" t="s">
        <v>48</v>
      </c>
      <c r="B66" s="102" t="s">
        <v>9</v>
      </c>
      <c r="C66" s="126"/>
      <c r="D66" s="103"/>
      <c r="E66" s="105" t="s">
        <v>24</v>
      </c>
      <c r="F66" s="107"/>
      <c r="G66" s="111" t="s">
        <v>11</v>
      </c>
      <c r="H66" s="106"/>
      <c r="I66" s="106"/>
      <c r="J66" s="106"/>
      <c r="K66" s="107"/>
      <c r="L66" s="111" t="s">
        <v>48</v>
      </c>
      <c r="M66" s="106"/>
      <c r="N66" s="106"/>
      <c r="O66" s="106"/>
      <c r="P66" s="107"/>
      <c r="Q66" s="102" t="s">
        <v>9</v>
      </c>
      <c r="R66" s="126"/>
      <c r="S66" s="103"/>
      <c r="T66" s="105" t="s">
        <v>24</v>
      </c>
      <c r="U66" s="107"/>
      <c r="V66" s="111" t="s">
        <v>11</v>
      </c>
      <c r="W66" s="106"/>
      <c r="X66" s="106"/>
      <c r="Y66" s="107"/>
      <c r="Z66" s="2"/>
    </row>
    <row r="67" spans="1:26" ht="12.75" customHeight="1" outlineLevel="1" x14ac:dyDescent="0.25">
      <c r="A67" s="101"/>
      <c r="B67" s="9" t="s">
        <v>25</v>
      </c>
      <c r="C67" s="10" t="s">
        <v>26</v>
      </c>
      <c r="D67" s="10" t="s">
        <v>27</v>
      </c>
      <c r="E67" s="108"/>
      <c r="F67" s="110"/>
      <c r="G67" s="108"/>
      <c r="H67" s="109"/>
      <c r="I67" s="109"/>
      <c r="J67" s="109"/>
      <c r="K67" s="110"/>
      <c r="L67" s="108"/>
      <c r="M67" s="109"/>
      <c r="N67" s="109"/>
      <c r="O67" s="109"/>
      <c r="P67" s="110"/>
      <c r="Q67" s="9" t="s">
        <v>25</v>
      </c>
      <c r="R67" s="10" t="s">
        <v>26</v>
      </c>
      <c r="S67" s="10" t="s">
        <v>27</v>
      </c>
      <c r="T67" s="108"/>
      <c r="U67" s="110"/>
      <c r="V67" s="108"/>
      <c r="W67" s="109"/>
      <c r="X67" s="109"/>
      <c r="Y67" s="110"/>
      <c r="Z67" s="2"/>
    </row>
    <row r="68" spans="1:26" ht="12.75" customHeight="1" outlineLevel="1" x14ac:dyDescent="0.25">
      <c r="A68" s="194" t="s">
        <v>93</v>
      </c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195"/>
      <c r="Z68" s="2"/>
    </row>
    <row r="69" spans="1:26" ht="54.75" customHeight="1" outlineLevel="1" x14ac:dyDescent="0.25">
      <c r="A69" s="5" t="s">
        <v>94</v>
      </c>
      <c r="B69" s="14"/>
      <c r="C69" s="14"/>
      <c r="D69" s="14"/>
      <c r="E69" s="212">
        <f>SUM(B69:D69)</f>
        <v>0</v>
      </c>
      <c r="F69" s="92"/>
      <c r="G69" s="90"/>
      <c r="H69" s="91"/>
      <c r="I69" s="91"/>
      <c r="J69" s="91"/>
      <c r="K69" s="92"/>
      <c r="L69" s="93" t="s">
        <v>95</v>
      </c>
      <c r="M69" s="91"/>
      <c r="N69" s="91"/>
      <c r="O69" s="91"/>
      <c r="P69" s="92"/>
      <c r="Q69" s="14"/>
      <c r="R69" s="14"/>
      <c r="S69" s="14"/>
      <c r="T69" s="212">
        <f>SUM(Q69:S69)</f>
        <v>0</v>
      </c>
      <c r="U69" s="92"/>
      <c r="V69" s="90"/>
      <c r="W69" s="91"/>
      <c r="X69" s="91"/>
      <c r="Y69" s="92"/>
      <c r="Z69" s="2"/>
    </row>
    <row r="70" spans="1:26" ht="44.25" customHeight="1" outlineLevel="1" x14ac:dyDescent="0.25">
      <c r="A70" s="18" t="s">
        <v>96</v>
      </c>
      <c r="B70" s="19"/>
      <c r="C70" s="19"/>
      <c r="D70" s="19"/>
      <c r="E70" s="212">
        <f>SUM(B70:D70)</f>
        <v>0</v>
      </c>
      <c r="F70" s="92"/>
      <c r="G70" s="90"/>
      <c r="H70" s="91"/>
      <c r="I70" s="91"/>
      <c r="J70" s="91"/>
      <c r="K70" s="92"/>
      <c r="L70" s="93" t="s">
        <v>97</v>
      </c>
      <c r="M70" s="91"/>
      <c r="N70" s="91"/>
      <c r="O70" s="91"/>
      <c r="P70" s="92"/>
      <c r="Q70" s="14"/>
      <c r="R70" s="14"/>
      <c r="S70" s="14"/>
      <c r="T70" s="212">
        <f>SUM(Q70:S70)</f>
        <v>0</v>
      </c>
      <c r="U70" s="92"/>
      <c r="V70" s="90"/>
      <c r="W70" s="91"/>
      <c r="X70" s="91"/>
      <c r="Y70" s="92"/>
      <c r="Z70" s="2"/>
    </row>
    <row r="71" spans="1:26" ht="43.5" customHeight="1" outlineLevel="1" x14ac:dyDescent="0.25">
      <c r="A71" s="5" t="s">
        <v>98</v>
      </c>
      <c r="B71" s="14"/>
      <c r="C71" s="14"/>
      <c r="D71" s="14"/>
      <c r="E71" s="212">
        <f>SUM(B71:D71)</f>
        <v>0</v>
      </c>
      <c r="F71" s="92"/>
      <c r="G71" s="90"/>
      <c r="H71" s="91"/>
      <c r="I71" s="91"/>
      <c r="J71" s="91"/>
      <c r="K71" s="92"/>
      <c r="L71" s="235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9"/>
      <c r="Z71" s="2"/>
    </row>
    <row r="72" spans="1:26" ht="38.25" outlineLevel="1" x14ac:dyDescent="0.25">
      <c r="A72" s="16" t="s">
        <v>99</v>
      </c>
      <c r="B72" s="85"/>
      <c r="C72" s="85"/>
      <c r="D72" s="85"/>
      <c r="E72" s="212">
        <f>SUM(B72:D72)</f>
        <v>0</v>
      </c>
      <c r="F72" s="92"/>
      <c r="G72" s="175"/>
      <c r="H72" s="98"/>
      <c r="I72" s="98"/>
      <c r="J72" s="98"/>
      <c r="K72" s="99"/>
      <c r="L72" s="213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8"/>
      <c r="Z72" s="2"/>
    </row>
    <row r="73" spans="1:26" ht="22.5" customHeight="1" outlineLevel="1" x14ac:dyDescent="0.25">
      <c r="A73" s="236" t="s">
        <v>100</v>
      </c>
      <c r="B73" s="233">
        <f>B43</f>
        <v>0</v>
      </c>
      <c r="C73" s="233">
        <f>C43</f>
        <v>0</v>
      </c>
      <c r="D73" s="233">
        <f>D43</f>
        <v>0</v>
      </c>
      <c r="E73" s="229">
        <v>0</v>
      </c>
      <c r="F73" s="230"/>
      <c r="G73" s="224"/>
      <c r="H73" s="98"/>
      <c r="I73" s="98"/>
      <c r="J73" s="98"/>
      <c r="K73" s="99"/>
      <c r="L73" s="213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8"/>
      <c r="Z73" s="2"/>
    </row>
    <row r="74" spans="1:26" outlineLevel="1" x14ac:dyDescent="0.25">
      <c r="A74" s="222"/>
      <c r="B74" s="234"/>
      <c r="C74" s="234"/>
      <c r="D74" s="234"/>
      <c r="E74" s="231"/>
      <c r="F74" s="232"/>
      <c r="G74" s="214"/>
      <c r="H74" s="140"/>
      <c r="I74" s="140"/>
      <c r="J74" s="140"/>
      <c r="K74" s="141"/>
      <c r="L74" s="213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8"/>
      <c r="Z74" s="2"/>
    </row>
    <row r="75" spans="1:26" ht="12.75" customHeight="1" outlineLevel="1" x14ac:dyDescent="0.25">
      <c r="A75" s="118" t="s">
        <v>48</v>
      </c>
      <c r="B75" s="119" t="s">
        <v>9</v>
      </c>
      <c r="C75" s="120"/>
      <c r="D75" s="121"/>
      <c r="E75" s="125" t="s">
        <v>24</v>
      </c>
      <c r="F75" s="124"/>
      <c r="G75" s="122" t="s">
        <v>11</v>
      </c>
      <c r="H75" s="123"/>
      <c r="I75" s="123"/>
      <c r="J75" s="123"/>
      <c r="K75" s="124"/>
      <c r="L75" s="213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8"/>
      <c r="Z75" s="2"/>
    </row>
    <row r="76" spans="1:26" ht="12.75" customHeight="1" outlineLevel="1" x14ac:dyDescent="0.25">
      <c r="A76" s="101"/>
      <c r="B76" s="9" t="s">
        <v>25</v>
      </c>
      <c r="C76" s="10" t="s">
        <v>26</v>
      </c>
      <c r="D76" s="10" t="s">
        <v>27</v>
      </c>
      <c r="E76" s="108"/>
      <c r="F76" s="110"/>
      <c r="G76" s="108"/>
      <c r="H76" s="109"/>
      <c r="I76" s="109"/>
      <c r="J76" s="109"/>
      <c r="K76" s="110"/>
      <c r="L76" s="213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8"/>
      <c r="Z76" s="2"/>
    </row>
    <row r="77" spans="1:26" ht="38.25" outlineLevel="1" x14ac:dyDescent="0.25">
      <c r="A77" s="5" t="s">
        <v>101</v>
      </c>
      <c r="B77" s="14">
        <f>B73</f>
        <v>0</v>
      </c>
      <c r="C77" s="14">
        <f>C73</f>
        <v>0</v>
      </c>
      <c r="D77" s="14">
        <f>D73</f>
        <v>0</v>
      </c>
      <c r="E77" s="212">
        <f>SUM(B77:D77)</f>
        <v>0</v>
      </c>
      <c r="F77" s="92"/>
      <c r="G77" s="90"/>
      <c r="H77" s="91"/>
      <c r="I77" s="91"/>
      <c r="J77" s="91"/>
      <c r="K77" s="92"/>
      <c r="L77" s="213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8"/>
      <c r="Z77" s="2"/>
    </row>
    <row r="78" spans="1:26" ht="12.75" customHeight="1" outlineLevel="1" x14ac:dyDescent="0.25">
      <c r="A78" s="118" t="s">
        <v>48</v>
      </c>
      <c r="B78" s="119" t="s">
        <v>9</v>
      </c>
      <c r="C78" s="120"/>
      <c r="D78" s="121"/>
      <c r="E78" s="125" t="s">
        <v>24</v>
      </c>
      <c r="F78" s="124"/>
      <c r="G78" s="122" t="s">
        <v>11</v>
      </c>
      <c r="H78" s="123"/>
      <c r="I78" s="123"/>
      <c r="J78" s="123"/>
      <c r="K78" s="124"/>
      <c r="L78" s="213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8"/>
      <c r="Z78" s="2"/>
    </row>
    <row r="79" spans="1:26" ht="12.75" customHeight="1" outlineLevel="1" x14ac:dyDescent="0.25">
      <c r="A79" s="101"/>
      <c r="B79" s="9" t="s">
        <v>25</v>
      </c>
      <c r="C79" s="10" t="s">
        <v>26</v>
      </c>
      <c r="D79" s="10" t="s">
        <v>27</v>
      </c>
      <c r="E79" s="108"/>
      <c r="F79" s="110"/>
      <c r="G79" s="108"/>
      <c r="H79" s="109"/>
      <c r="I79" s="109"/>
      <c r="J79" s="109"/>
      <c r="K79" s="110"/>
      <c r="L79" s="213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8"/>
      <c r="Z79" s="2"/>
    </row>
    <row r="80" spans="1:26" ht="25.5" outlineLevel="1" x14ac:dyDescent="0.25">
      <c r="A80" s="5" t="s">
        <v>102</v>
      </c>
      <c r="B80" s="85"/>
      <c r="C80" s="85"/>
      <c r="D80" s="85"/>
      <c r="E80" s="212">
        <f>SUM(B80:D80)</f>
        <v>0</v>
      </c>
      <c r="F80" s="92"/>
      <c r="G80" s="175"/>
      <c r="H80" s="98"/>
      <c r="I80" s="98"/>
      <c r="J80" s="98"/>
      <c r="K80" s="99"/>
      <c r="L80" s="213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8"/>
      <c r="Z80" s="2"/>
    </row>
    <row r="81" spans="1:26" ht="25.5" outlineLevel="1" x14ac:dyDescent="0.25">
      <c r="A81" s="5" t="s">
        <v>103</v>
      </c>
      <c r="B81" s="85"/>
      <c r="C81" s="85"/>
      <c r="D81" s="85"/>
      <c r="E81" s="212">
        <f>SUM(B81:D81)</f>
        <v>0</v>
      </c>
      <c r="F81" s="92"/>
      <c r="G81" s="175"/>
      <c r="H81" s="98"/>
      <c r="I81" s="98"/>
      <c r="J81" s="98"/>
      <c r="K81" s="99"/>
      <c r="L81" s="214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1"/>
      <c r="Z81" s="2"/>
    </row>
    <row r="82" spans="1:26" ht="12.75" customHeight="1" x14ac:dyDescent="0.25">
      <c r="A82" s="218" t="s">
        <v>104</v>
      </c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03"/>
      <c r="Z82" s="2"/>
    </row>
    <row r="83" spans="1:26" ht="12.75" customHeight="1" outlineLevel="1" x14ac:dyDescent="0.25">
      <c r="A83" s="100" t="s">
        <v>48</v>
      </c>
      <c r="B83" s="102" t="s">
        <v>105</v>
      </c>
      <c r="C83" s="126"/>
      <c r="D83" s="103"/>
      <c r="E83" s="105" t="s">
        <v>11</v>
      </c>
      <c r="F83" s="106"/>
      <c r="G83" s="106"/>
      <c r="H83" s="106"/>
      <c r="I83" s="106"/>
      <c r="J83" s="106"/>
      <c r="K83" s="107"/>
      <c r="L83" s="111" t="s">
        <v>48</v>
      </c>
      <c r="M83" s="106"/>
      <c r="N83" s="106"/>
      <c r="O83" s="106"/>
      <c r="P83" s="107"/>
      <c r="Q83" s="102" t="s">
        <v>105</v>
      </c>
      <c r="R83" s="126"/>
      <c r="S83" s="103"/>
      <c r="T83" s="105" t="s">
        <v>11</v>
      </c>
      <c r="U83" s="106"/>
      <c r="V83" s="106"/>
      <c r="W83" s="106"/>
      <c r="X83" s="106"/>
      <c r="Y83" s="107"/>
      <c r="Z83" s="2"/>
    </row>
    <row r="84" spans="1:26" ht="12.75" customHeight="1" outlineLevel="1" x14ac:dyDescent="0.25">
      <c r="A84" s="101"/>
      <c r="B84" s="4" t="s">
        <v>106</v>
      </c>
      <c r="C84" s="4" t="s">
        <v>107</v>
      </c>
      <c r="D84" s="4" t="s">
        <v>108</v>
      </c>
      <c r="E84" s="108"/>
      <c r="F84" s="109"/>
      <c r="G84" s="109"/>
      <c r="H84" s="109"/>
      <c r="I84" s="109"/>
      <c r="J84" s="109"/>
      <c r="K84" s="110"/>
      <c r="L84" s="108"/>
      <c r="M84" s="109"/>
      <c r="N84" s="109"/>
      <c r="O84" s="109"/>
      <c r="P84" s="110"/>
      <c r="Q84" s="4" t="s">
        <v>106</v>
      </c>
      <c r="R84" s="4" t="s">
        <v>107</v>
      </c>
      <c r="S84" s="4" t="s">
        <v>108</v>
      </c>
      <c r="T84" s="108"/>
      <c r="U84" s="109"/>
      <c r="V84" s="109"/>
      <c r="W84" s="109"/>
      <c r="X84" s="109"/>
      <c r="Y84" s="110"/>
      <c r="Z84" s="2"/>
    </row>
    <row r="85" spans="1:26" ht="12.75" customHeight="1" outlineLevel="1" x14ac:dyDescent="0.25">
      <c r="A85" s="112" t="s">
        <v>109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2"/>
      <c r="Z85" s="2"/>
    </row>
    <row r="86" spans="1:26" ht="12.75" customHeight="1" outlineLevel="1" x14ac:dyDescent="0.25">
      <c r="A86" s="228" t="s">
        <v>110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2"/>
      <c r="Z86" s="2"/>
    </row>
    <row r="87" spans="1:26" ht="25.5" customHeight="1" outlineLevel="1" x14ac:dyDescent="0.25">
      <c r="A87" s="5" t="s">
        <v>111</v>
      </c>
      <c r="B87" s="14"/>
      <c r="C87" s="14"/>
      <c r="D87" s="19">
        <f>SUM(B87:C87)</f>
        <v>0</v>
      </c>
      <c r="E87" s="90"/>
      <c r="F87" s="91"/>
      <c r="G87" s="91"/>
      <c r="H87" s="91"/>
      <c r="I87" s="91"/>
      <c r="J87" s="91"/>
      <c r="K87" s="92"/>
      <c r="L87" s="226" t="s">
        <v>112</v>
      </c>
      <c r="M87" s="140"/>
      <c r="N87" s="140"/>
      <c r="O87" s="140"/>
      <c r="P87" s="140"/>
      <c r="Q87" s="14"/>
      <c r="R87" s="14"/>
      <c r="S87" s="19">
        <f>SUM(Q87:R87)</f>
        <v>0</v>
      </c>
      <c r="T87" s="90"/>
      <c r="U87" s="91"/>
      <c r="V87" s="91"/>
      <c r="W87" s="91"/>
      <c r="X87" s="91"/>
      <c r="Y87" s="92"/>
      <c r="Z87" s="2"/>
    </row>
    <row r="88" spans="1:26" ht="25.5" customHeight="1" outlineLevel="1" x14ac:dyDescent="0.25">
      <c r="A88" s="5" t="s">
        <v>113</v>
      </c>
      <c r="B88" s="14"/>
      <c r="C88" s="14"/>
      <c r="D88" s="19">
        <f>SUM(B88:C88)</f>
        <v>0</v>
      </c>
      <c r="E88" s="90"/>
      <c r="F88" s="91"/>
      <c r="G88" s="91"/>
      <c r="H88" s="91"/>
      <c r="I88" s="91"/>
      <c r="J88" s="91"/>
      <c r="K88" s="92"/>
      <c r="L88" s="93" t="s">
        <v>114</v>
      </c>
      <c r="M88" s="91"/>
      <c r="N88" s="91"/>
      <c r="O88" s="91"/>
      <c r="P88" s="92"/>
      <c r="Q88" s="14"/>
      <c r="R88" s="14"/>
      <c r="S88" s="19">
        <f>SUM(Q88:R88)</f>
        <v>0</v>
      </c>
      <c r="T88" s="90"/>
      <c r="U88" s="91"/>
      <c r="V88" s="91"/>
      <c r="W88" s="91"/>
      <c r="X88" s="91"/>
      <c r="Y88" s="92"/>
      <c r="Z88" s="2"/>
    </row>
    <row r="89" spans="1:26" ht="25.5" customHeight="1" outlineLevel="1" x14ac:dyDescent="0.25">
      <c r="A89" s="5" t="s">
        <v>115</v>
      </c>
      <c r="B89" s="14"/>
      <c r="C89" s="14"/>
      <c r="D89" s="19">
        <f>SUM(B89:C89)</f>
        <v>0</v>
      </c>
      <c r="E89" s="90"/>
      <c r="F89" s="91"/>
      <c r="G89" s="91"/>
      <c r="H89" s="91"/>
      <c r="I89" s="91"/>
      <c r="J89" s="91"/>
      <c r="K89" s="92"/>
      <c r="L89" s="117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5"/>
      <c r="Z89" s="2"/>
    </row>
    <row r="90" spans="1:26" ht="12.75" customHeight="1" outlineLevel="1" x14ac:dyDescent="0.25">
      <c r="A90" s="228" t="s">
        <v>116</v>
      </c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2"/>
      <c r="Z90" s="2"/>
    </row>
    <row r="91" spans="1:26" ht="13.5" customHeight="1" outlineLevel="1" x14ac:dyDescent="0.25">
      <c r="A91" s="5" t="s">
        <v>117</v>
      </c>
      <c r="B91" s="14"/>
      <c r="C91" s="14"/>
      <c r="D91" s="19">
        <f t="shared" ref="D91:D97" si="25">SUM(B91:C91)</f>
        <v>0</v>
      </c>
      <c r="E91" s="90"/>
      <c r="F91" s="91"/>
      <c r="G91" s="91"/>
      <c r="H91" s="91"/>
      <c r="I91" s="91"/>
      <c r="J91" s="91"/>
      <c r="K91" s="92"/>
      <c r="L91" s="93" t="s">
        <v>118</v>
      </c>
      <c r="M91" s="91"/>
      <c r="N91" s="91"/>
      <c r="O91" s="91"/>
      <c r="P91" s="92"/>
      <c r="Q91" s="14"/>
      <c r="R91" s="14"/>
      <c r="S91" s="19">
        <f>SUM(Q91:R91)</f>
        <v>0</v>
      </c>
      <c r="T91" s="90"/>
      <c r="U91" s="91"/>
      <c r="V91" s="91"/>
      <c r="W91" s="91"/>
      <c r="X91" s="91"/>
      <c r="Y91" s="92"/>
      <c r="Z91" s="2"/>
    </row>
    <row r="92" spans="1:26" ht="13.5" customHeight="1" outlineLevel="1" x14ac:dyDescent="0.25">
      <c r="A92" s="5" t="s">
        <v>119</v>
      </c>
      <c r="B92" s="14"/>
      <c r="C92" s="14"/>
      <c r="D92" s="19">
        <f t="shared" si="25"/>
        <v>0</v>
      </c>
      <c r="E92" s="90"/>
      <c r="F92" s="91"/>
      <c r="G92" s="91"/>
      <c r="H92" s="91"/>
      <c r="I92" s="91"/>
      <c r="J92" s="91"/>
      <c r="K92" s="92"/>
      <c r="L92" s="93" t="s">
        <v>120</v>
      </c>
      <c r="M92" s="91"/>
      <c r="N92" s="91"/>
      <c r="O92" s="91"/>
      <c r="P92" s="92"/>
      <c r="Q92" s="14"/>
      <c r="R92" s="14"/>
      <c r="S92" s="19">
        <f t="shared" ref="S92:S105" si="26">SUM(Q92:R92)</f>
        <v>0</v>
      </c>
      <c r="T92" s="90"/>
      <c r="U92" s="91"/>
      <c r="V92" s="91"/>
      <c r="W92" s="91"/>
      <c r="X92" s="91"/>
      <c r="Y92" s="92"/>
      <c r="Z92" s="2"/>
    </row>
    <row r="93" spans="1:26" ht="13.5" customHeight="1" outlineLevel="1" x14ac:dyDescent="0.25">
      <c r="A93" s="5" t="s">
        <v>121</v>
      </c>
      <c r="B93" s="14"/>
      <c r="C93" s="14"/>
      <c r="D93" s="19">
        <f t="shared" si="25"/>
        <v>0</v>
      </c>
      <c r="E93" s="90"/>
      <c r="F93" s="91"/>
      <c r="G93" s="91"/>
      <c r="H93" s="91"/>
      <c r="I93" s="91"/>
      <c r="J93" s="91"/>
      <c r="K93" s="92"/>
      <c r="L93" s="93" t="s">
        <v>122</v>
      </c>
      <c r="M93" s="91"/>
      <c r="N93" s="91"/>
      <c r="O93" s="91"/>
      <c r="P93" s="92"/>
      <c r="Q93" s="14"/>
      <c r="R93" s="14"/>
      <c r="S93" s="19">
        <f t="shared" si="26"/>
        <v>0</v>
      </c>
      <c r="T93" s="90"/>
      <c r="U93" s="91"/>
      <c r="V93" s="91"/>
      <c r="W93" s="91"/>
      <c r="X93" s="91"/>
      <c r="Y93" s="92"/>
      <c r="Z93" s="2"/>
    </row>
    <row r="94" spans="1:26" ht="13.5" customHeight="1" outlineLevel="1" x14ac:dyDescent="0.25">
      <c r="A94" s="5" t="s">
        <v>123</v>
      </c>
      <c r="B94" s="14"/>
      <c r="C94" s="14"/>
      <c r="D94" s="19">
        <f t="shared" si="25"/>
        <v>0</v>
      </c>
      <c r="E94" s="90"/>
      <c r="F94" s="91"/>
      <c r="G94" s="91"/>
      <c r="H94" s="91"/>
      <c r="I94" s="91"/>
      <c r="J94" s="91"/>
      <c r="K94" s="92"/>
      <c r="L94" s="93" t="s">
        <v>124</v>
      </c>
      <c r="M94" s="91"/>
      <c r="N94" s="91"/>
      <c r="O94" s="91"/>
      <c r="P94" s="92"/>
      <c r="Q94" s="14"/>
      <c r="R94" s="14"/>
      <c r="S94" s="19">
        <f t="shared" si="26"/>
        <v>0</v>
      </c>
      <c r="T94" s="90"/>
      <c r="U94" s="91"/>
      <c r="V94" s="91"/>
      <c r="W94" s="91"/>
      <c r="X94" s="91"/>
      <c r="Y94" s="92"/>
      <c r="Z94" s="2"/>
    </row>
    <row r="95" spans="1:26" ht="13.5" customHeight="1" outlineLevel="1" x14ac:dyDescent="0.25">
      <c r="A95" s="5" t="s">
        <v>125</v>
      </c>
      <c r="B95" s="14"/>
      <c r="C95" s="14"/>
      <c r="D95" s="19">
        <f t="shared" si="25"/>
        <v>0</v>
      </c>
      <c r="E95" s="90"/>
      <c r="F95" s="91"/>
      <c r="G95" s="91"/>
      <c r="H95" s="91"/>
      <c r="I95" s="91"/>
      <c r="J95" s="91"/>
      <c r="K95" s="92"/>
      <c r="L95" s="93" t="s">
        <v>126</v>
      </c>
      <c r="M95" s="91"/>
      <c r="N95" s="91"/>
      <c r="O95" s="91"/>
      <c r="P95" s="92"/>
      <c r="Q95" s="14"/>
      <c r="R95" s="14"/>
      <c r="S95" s="19">
        <f t="shared" si="26"/>
        <v>0</v>
      </c>
      <c r="T95" s="90"/>
      <c r="U95" s="91"/>
      <c r="V95" s="91"/>
      <c r="W95" s="91"/>
      <c r="X95" s="91"/>
      <c r="Y95" s="92"/>
      <c r="Z95" s="2"/>
    </row>
    <row r="96" spans="1:26" ht="13.5" customHeight="1" outlineLevel="1" x14ac:dyDescent="0.25">
      <c r="A96" s="5" t="s">
        <v>127</v>
      </c>
      <c r="B96" s="14"/>
      <c r="C96" s="14"/>
      <c r="D96" s="19">
        <f t="shared" si="25"/>
        <v>0</v>
      </c>
      <c r="E96" s="90"/>
      <c r="F96" s="91"/>
      <c r="G96" s="91"/>
      <c r="H96" s="91"/>
      <c r="I96" s="91"/>
      <c r="J96" s="91"/>
      <c r="K96" s="92"/>
      <c r="L96" s="93" t="s">
        <v>128</v>
      </c>
      <c r="M96" s="91"/>
      <c r="N96" s="91"/>
      <c r="O96" s="91"/>
      <c r="P96" s="92"/>
      <c r="Q96" s="14"/>
      <c r="R96" s="14"/>
      <c r="S96" s="19">
        <f t="shared" si="26"/>
        <v>0</v>
      </c>
      <c r="T96" s="90"/>
      <c r="U96" s="91"/>
      <c r="V96" s="91"/>
      <c r="W96" s="91"/>
      <c r="X96" s="91"/>
      <c r="Y96" s="92"/>
      <c r="Z96" s="2"/>
    </row>
    <row r="97" spans="1:26" ht="13.5" customHeight="1" outlineLevel="1" x14ac:dyDescent="0.25">
      <c r="A97" s="5" t="s">
        <v>129</v>
      </c>
      <c r="B97" s="14"/>
      <c r="C97" s="14"/>
      <c r="D97" s="19">
        <f t="shared" si="25"/>
        <v>0</v>
      </c>
      <c r="E97" s="90"/>
      <c r="F97" s="91"/>
      <c r="G97" s="91"/>
      <c r="H97" s="91"/>
      <c r="I97" s="91"/>
      <c r="J97" s="91"/>
      <c r="K97" s="92"/>
      <c r="L97" s="93" t="s">
        <v>130</v>
      </c>
      <c r="M97" s="91"/>
      <c r="N97" s="91"/>
      <c r="O97" s="91"/>
      <c r="P97" s="92"/>
      <c r="Q97" s="14"/>
      <c r="R97" s="14"/>
      <c r="S97" s="19">
        <f t="shared" si="26"/>
        <v>0</v>
      </c>
      <c r="T97" s="90"/>
      <c r="U97" s="91"/>
      <c r="V97" s="91"/>
      <c r="W97" s="91"/>
      <c r="X97" s="91"/>
      <c r="Y97" s="92"/>
      <c r="Z97" s="2"/>
    </row>
    <row r="98" spans="1:26" ht="13.5" customHeight="1" outlineLevel="1" x14ac:dyDescent="0.25">
      <c r="A98" s="228" t="s">
        <v>131</v>
      </c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2"/>
      <c r="Z98" s="2"/>
    </row>
    <row r="99" spans="1:26" ht="13.5" customHeight="1" outlineLevel="1" x14ac:dyDescent="0.25">
      <c r="A99" s="5" t="s">
        <v>117</v>
      </c>
      <c r="B99" s="14"/>
      <c r="C99" s="14"/>
      <c r="D99" s="19">
        <f t="shared" ref="D99:D105" si="27">SUM(B99:C99)</f>
        <v>0</v>
      </c>
      <c r="E99" s="90"/>
      <c r="F99" s="91"/>
      <c r="G99" s="91"/>
      <c r="H99" s="91"/>
      <c r="I99" s="91"/>
      <c r="J99" s="91"/>
      <c r="K99" s="92"/>
      <c r="L99" s="93" t="s">
        <v>118</v>
      </c>
      <c r="M99" s="91"/>
      <c r="N99" s="91"/>
      <c r="O99" s="91"/>
      <c r="P99" s="92"/>
      <c r="Q99" s="14"/>
      <c r="R99" s="14"/>
      <c r="S99" s="19">
        <f t="shared" si="26"/>
        <v>0</v>
      </c>
      <c r="T99" s="90"/>
      <c r="U99" s="91"/>
      <c r="V99" s="91"/>
      <c r="W99" s="91"/>
      <c r="X99" s="91"/>
      <c r="Y99" s="92"/>
      <c r="Z99" s="2"/>
    </row>
    <row r="100" spans="1:26" ht="13.5" customHeight="1" outlineLevel="1" x14ac:dyDescent="0.25">
      <c r="A100" s="5" t="s">
        <v>119</v>
      </c>
      <c r="B100" s="14"/>
      <c r="C100" s="14"/>
      <c r="D100" s="19">
        <f t="shared" si="27"/>
        <v>0</v>
      </c>
      <c r="E100" s="90"/>
      <c r="F100" s="91"/>
      <c r="G100" s="91"/>
      <c r="H100" s="91"/>
      <c r="I100" s="91"/>
      <c r="J100" s="91"/>
      <c r="K100" s="92"/>
      <c r="L100" s="93" t="s">
        <v>120</v>
      </c>
      <c r="M100" s="91"/>
      <c r="N100" s="91"/>
      <c r="O100" s="91"/>
      <c r="P100" s="92"/>
      <c r="Q100" s="14"/>
      <c r="R100" s="14"/>
      <c r="S100" s="19">
        <f t="shared" si="26"/>
        <v>0</v>
      </c>
      <c r="T100" s="90"/>
      <c r="U100" s="91"/>
      <c r="V100" s="91"/>
      <c r="W100" s="91"/>
      <c r="X100" s="91"/>
      <c r="Y100" s="92"/>
      <c r="Z100" s="2"/>
    </row>
    <row r="101" spans="1:26" ht="13.5" customHeight="1" outlineLevel="1" x14ac:dyDescent="0.25">
      <c r="A101" s="5" t="s">
        <v>121</v>
      </c>
      <c r="B101" s="14"/>
      <c r="C101" s="14"/>
      <c r="D101" s="19">
        <f t="shared" si="27"/>
        <v>0</v>
      </c>
      <c r="E101" s="90"/>
      <c r="F101" s="91"/>
      <c r="G101" s="91"/>
      <c r="H101" s="91"/>
      <c r="I101" s="91"/>
      <c r="J101" s="91"/>
      <c r="K101" s="92"/>
      <c r="L101" s="93" t="s">
        <v>122</v>
      </c>
      <c r="M101" s="91"/>
      <c r="N101" s="91"/>
      <c r="O101" s="91"/>
      <c r="P101" s="92"/>
      <c r="Q101" s="14"/>
      <c r="R101" s="14"/>
      <c r="S101" s="19">
        <f t="shared" si="26"/>
        <v>0</v>
      </c>
      <c r="T101" s="90"/>
      <c r="U101" s="91"/>
      <c r="V101" s="91"/>
      <c r="W101" s="91"/>
      <c r="X101" s="91"/>
      <c r="Y101" s="92"/>
      <c r="Z101" s="2"/>
    </row>
    <row r="102" spans="1:26" ht="13.5" customHeight="1" outlineLevel="1" x14ac:dyDescent="0.25">
      <c r="A102" s="5" t="s">
        <v>123</v>
      </c>
      <c r="B102" s="14"/>
      <c r="C102" s="14"/>
      <c r="D102" s="19">
        <f t="shared" si="27"/>
        <v>0</v>
      </c>
      <c r="E102" s="90"/>
      <c r="F102" s="91"/>
      <c r="G102" s="91"/>
      <c r="H102" s="91"/>
      <c r="I102" s="91"/>
      <c r="J102" s="91"/>
      <c r="K102" s="92"/>
      <c r="L102" s="93" t="s">
        <v>124</v>
      </c>
      <c r="M102" s="91"/>
      <c r="N102" s="91"/>
      <c r="O102" s="91"/>
      <c r="P102" s="92"/>
      <c r="Q102" s="14"/>
      <c r="R102" s="14"/>
      <c r="S102" s="19">
        <f t="shared" si="26"/>
        <v>0</v>
      </c>
      <c r="T102" s="90"/>
      <c r="U102" s="91"/>
      <c r="V102" s="91"/>
      <c r="W102" s="91"/>
      <c r="X102" s="91"/>
      <c r="Y102" s="92"/>
      <c r="Z102" s="2"/>
    </row>
    <row r="103" spans="1:26" ht="13.5" customHeight="1" outlineLevel="1" x14ac:dyDescent="0.25">
      <c r="A103" s="5" t="s">
        <v>125</v>
      </c>
      <c r="B103" s="14"/>
      <c r="C103" s="14"/>
      <c r="D103" s="19">
        <f t="shared" si="27"/>
        <v>0</v>
      </c>
      <c r="E103" s="90"/>
      <c r="F103" s="91"/>
      <c r="G103" s="91"/>
      <c r="H103" s="91"/>
      <c r="I103" s="91"/>
      <c r="J103" s="91"/>
      <c r="K103" s="92"/>
      <c r="L103" s="93" t="s">
        <v>126</v>
      </c>
      <c r="M103" s="91"/>
      <c r="N103" s="91"/>
      <c r="O103" s="91"/>
      <c r="P103" s="92"/>
      <c r="Q103" s="14"/>
      <c r="R103" s="14"/>
      <c r="S103" s="19">
        <f t="shared" si="26"/>
        <v>0</v>
      </c>
      <c r="T103" s="90"/>
      <c r="U103" s="91"/>
      <c r="V103" s="91"/>
      <c r="W103" s="91"/>
      <c r="X103" s="91"/>
      <c r="Y103" s="92"/>
      <c r="Z103" s="2"/>
    </row>
    <row r="104" spans="1:26" ht="13.5" customHeight="1" outlineLevel="1" x14ac:dyDescent="0.25">
      <c r="A104" s="5" t="s">
        <v>127</v>
      </c>
      <c r="B104" s="14"/>
      <c r="C104" s="14"/>
      <c r="D104" s="19">
        <f t="shared" si="27"/>
        <v>0</v>
      </c>
      <c r="E104" s="90"/>
      <c r="F104" s="91"/>
      <c r="G104" s="91"/>
      <c r="H104" s="91"/>
      <c r="I104" s="91"/>
      <c r="J104" s="91"/>
      <c r="K104" s="92"/>
      <c r="L104" s="93" t="s">
        <v>128</v>
      </c>
      <c r="M104" s="91"/>
      <c r="N104" s="91"/>
      <c r="O104" s="91"/>
      <c r="P104" s="92"/>
      <c r="Q104" s="14"/>
      <c r="R104" s="14"/>
      <c r="S104" s="19">
        <f t="shared" si="26"/>
        <v>0</v>
      </c>
      <c r="T104" s="90"/>
      <c r="U104" s="91"/>
      <c r="V104" s="91"/>
      <c r="W104" s="91"/>
      <c r="X104" s="91"/>
      <c r="Y104" s="92"/>
      <c r="Z104" s="2"/>
    </row>
    <row r="105" spans="1:26" ht="13.5" customHeight="1" outlineLevel="1" x14ac:dyDescent="0.25">
      <c r="A105" s="5" t="s">
        <v>129</v>
      </c>
      <c r="B105" s="14"/>
      <c r="C105" s="14"/>
      <c r="D105" s="19">
        <f t="shared" si="27"/>
        <v>0</v>
      </c>
      <c r="E105" s="90"/>
      <c r="F105" s="91"/>
      <c r="G105" s="91"/>
      <c r="H105" s="91"/>
      <c r="I105" s="91"/>
      <c r="J105" s="91"/>
      <c r="K105" s="92"/>
      <c r="L105" s="93" t="s">
        <v>132</v>
      </c>
      <c r="M105" s="91"/>
      <c r="N105" s="91"/>
      <c r="O105" s="91"/>
      <c r="P105" s="92"/>
      <c r="Q105" s="14"/>
      <c r="R105" s="14"/>
      <c r="S105" s="19">
        <f t="shared" si="26"/>
        <v>0</v>
      </c>
      <c r="T105" s="90"/>
      <c r="U105" s="91"/>
      <c r="V105" s="91"/>
      <c r="W105" s="91"/>
      <c r="X105" s="91"/>
      <c r="Y105" s="92"/>
      <c r="Z105" s="2"/>
    </row>
    <row r="106" spans="1:26" ht="12.75" customHeight="1" outlineLevel="1" x14ac:dyDescent="0.25">
      <c r="A106" s="100" t="s">
        <v>48</v>
      </c>
      <c r="B106" s="102" t="s">
        <v>105</v>
      </c>
      <c r="C106" s="126"/>
      <c r="D106" s="103"/>
      <c r="E106" s="105" t="s">
        <v>11</v>
      </c>
      <c r="F106" s="106"/>
      <c r="G106" s="106"/>
      <c r="H106" s="106"/>
      <c r="I106" s="106"/>
      <c r="J106" s="106"/>
      <c r="K106" s="107"/>
      <c r="L106" s="111" t="s">
        <v>48</v>
      </c>
      <c r="M106" s="106"/>
      <c r="N106" s="106"/>
      <c r="O106" s="106"/>
      <c r="P106" s="107"/>
      <c r="Q106" s="102" t="s">
        <v>105</v>
      </c>
      <c r="R106" s="126"/>
      <c r="S106" s="103"/>
      <c r="T106" s="105" t="s">
        <v>11</v>
      </c>
      <c r="U106" s="106"/>
      <c r="V106" s="106"/>
      <c r="W106" s="106"/>
      <c r="X106" s="106"/>
      <c r="Y106" s="107"/>
      <c r="Z106" s="2"/>
    </row>
    <row r="107" spans="1:26" ht="12.75" customHeight="1" outlineLevel="1" x14ac:dyDescent="0.25">
      <c r="A107" s="101"/>
      <c r="B107" s="10" t="s">
        <v>106</v>
      </c>
      <c r="C107" s="10" t="s">
        <v>107</v>
      </c>
      <c r="D107" s="10" t="s">
        <v>108</v>
      </c>
      <c r="E107" s="108"/>
      <c r="F107" s="109"/>
      <c r="G107" s="109"/>
      <c r="H107" s="109"/>
      <c r="I107" s="109"/>
      <c r="J107" s="109"/>
      <c r="K107" s="110"/>
      <c r="L107" s="108"/>
      <c r="M107" s="109"/>
      <c r="N107" s="109"/>
      <c r="O107" s="109"/>
      <c r="P107" s="110"/>
      <c r="Q107" s="10" t="s">
        <v>106</v>
      </c>
      <c r="R107" s="10" t="s">
        <v>107</v>
      </c>
      <c r="S107" s="10" t="s">
        <v>108</v>
      </c>
      <c r="T107" s="108"/>
      <c r="U107" s="109"/>
      <c r="V107" s="109"/>
      <c r="W107" s="109"/>
      <c r="X107" s="109"/>
      <c r="Y107" s="110"/>
      <c r="Z107" s="2"/>
    </row>
    <row r="108" spans="1:26" ht="12.75" customHeight="1" outlineLevel="1" x14ac:dyDescent="0.25">
      <c r="A108" s="227" t="s">
        <v>133</v>
      </c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2"/>
    </row>
    <row r="109" spans="1:26" ht="28.5" customHeight="1" outlineLevel="1" x14ac:dyDescent="0.25">
      <c r="A109" s="20" t="s">
        <v>134</v>
      </c>
      <c r="B109" s="21"/>
      <c r="C109" s="87"/>
      <c r="D109" s="19">
        <f>SUM(C109)</f>
        <v>0</v>
      </c>
      <c r="E109" s="90"/>
      <c r="F109" s="91"/>
      <c r="G109" s="91"/>
      <c r="H109" s="91"/>
      <c r="I109" s="91"/>
      <c r="J109" s="91"/>
      <c r="K109" s="92"/>
      <c r="L109" s="93" t="s">
        <v>135</v>
      </c>
      <c r="M109" s="91"/>
      <c r="N109" s="91"/>
      <c r="O109" s="91"/>
      <c r="P109" s="92"/>
      <c r="Q109" s="87"/>
      <c r="R109" s="87"/>
      <c r="S109" s="19">
        <f>SUM(Q109:R109)</f>
        <v>0</v>
      </c>
      <c r="T109" s="90"/>
      <c r="U109" s="91"/>
      <c r="V109" s="91"/>
      <c r="W109" s="91"/>
      <c r="X109" s="91"/>
      <c r="Y109" s="92"/>
      <c r="Z109" s="2"/>
    </row>
    <row r="110" spans="1:26" ht="28.5" customHeight="1" outlineLevel="1" x14ac:dyDescent="0.25">
      <c r="A110" s="20" t="s">
        <v>136</v>
      </c>
      <c r="B110" s="21"/>
      <c r="C110" s="87"/>
      <c r="D110" s="19">
        <f>SUM(C110)</f>
        <v>0</v>
      </c>
      <c r="E110" s="90"/>
      <c r="F110" s="91"/>
      <c r="G110" s="91"/>
      <c r="H110" s="91"/>
      <c r="I110" s="91"/>
      <c r="J110" s="91"/>
      <c r="K110" s="92"/>
      <c r="L110" s="93" t="s">
        <v>137</v>
      </c>
      <c r="M110" s="91"/>
      <c r="N110" s="91"/>
      <c r="O110" s="91"/>
      <c r="P110" s="92"/>
      <c r="Q110" s="87"/>
      <c r="R110" s="87"/>
      <c r="S110" s="19">
        <f t="shared" ref="S110:S111" si="28">SUM(Q110:R110)</f>
        <v>0</v>
      </c>
      <c r="T110" s="90"/>
      <c r="U110" s="91"/>
      <c r="V110" s="91"/>
      <c r="W110" s="91"/>
      <c r="X110" s="91"/>
      <c r="Y110" s="92"/>
      <c r="Z110" s="2"/>
    </row>
    <row r="111" spans="1:26" ht="28.5" customHeight="1" outlineLevel="1" x14ac:dyDescent="0.25">
      <c r="A111" s="20" t="s">
        <v>138</v>
      </c>
      <c r="B111" s="87"/>
      <c r="C111" s="87"/>
      <c r="D111" s="19">
        <f>SUM(B111:C111)</f>
        <v>0</v>
      </c>
      <c r="E111" s="90"/>
      <c r="F111" s="91"/>
      <c r="G111" s="91"/>
      <c r="H111" s="91"/>
      <c r="I111" s="91"/>
      <c r="J111" s="91"/>
      <c r="K111" s="92"/>
      <c r="L111" s="93" t="s">
        <v>139</v>
      </c>
      <c r="M111" s="91"/>
      <c r="N111" s="91"/>
      <c r="O111" s="91"/>
      <c r="P111" s="92"/>
      <c r="Q111" s="88"/>
      <c r="R111" s="88"/>
      <c r="S111" s="19">
        <f t="shared" si="28"/>
        <v>0</v>
      </c>
      <c r="T111" s="90"/>
      <c r="U111" s="91"/>
      <c r="V111" s="91"/>
      <c r="W111" s="91"/>
      <c r="X111" s="91"/>
      <c r="Y111" s="92"/>
      <c r="Z111" s="2"/>
    </row>
    <row r="112" spans="1:26" ht="12.75" customHeight="1" outlineLevel="1" x14ac:dyDescent="0.25">
      <c r="A112" s="100" t="s">
        <v>48</v>
      </c>
      <c r="B112" s="102" t="s">
        <v>105</v>
      </c>
      <c r="C112" s="126"/>
      <c r="D112" s="103"/>
      <c r="E112" s="105" t="s">
        <v>11</v>
      </c>
      <c r="F112" s="106"/>
      <c r="G112" s="106"/>
      <c r="H112" s="106"/>
      <c r="I112" s="106"/>
      <c r="J112" s="106"/>
      <c r="K112" s="107"/>
      <c r="L112" s="122" t="s">
        <v>48</v>
      </c>
      <c r="M112" s="123"/>
      <c r="N112" s="123"/>
      <c r="O112" s="123"/>
      <c r="P112" s="124"/>
      <c r="Q112" s="102" t="s">
        <v>105</v>
      </c>
      <c r="R112" s="126"/>
      <c r="S112" s="103"/>
      <c r="T112" s="105" t="s">
        <v>11</v>
      </c>
      <c r="U112" s="106"/>
      <c r="V112" s="106"/>
      <c r="W112" s="106"/>
      <c r="X112" s="106"/>
      <c r="Y112" s="107"/>
      <c r="Z112" s="2"/>
    </row>
    <row r="113" spans="1:26" ht="12.75" customHeight="1" outlineLevel="1" x14ac:dyDescent="0.25">
      <c r="A113" s="101"/>
      <c r="B113" s="10" t="s">
        <v>106</v>
      </c>
      <c r="C113" s="10" t="s">
        <v>107</v>
      </c>
      <c r="D113" s="10" t="s">
        <v>108</v>
      </c>
      <c r="E113" s="108"/>
      <c r="F113" s="109"/>
      <c r="G113" s="109"/>
      <c r="H113" s="109"/>
      <c r="I113" s="109"/>
      <c r="J113" s="109"/>
      <c r="K113" s="110"/>
      <c r="L113" s="108"/>
      <c r="M113" s="109"/>
      <c r="N113" s="109"/>
      <c r="O113" s="109"/>
      <c r="P113" s="110"/>
      <c r="Q113" s="10" t="s">
        <v>106</v>
      </c>
      <c r="R113" s="10" t="s">
        <v>107</v>
      </c>
      <c r="S113" s="10" t="s">
        <v>108</v>
      </c>
      <c r="T113" s="108"/>
      <c r="U113" s="109"/>
      <c r="V113" s="109"/>
      <c r="W113" s="109"/>
      <c r="X113" s="109"/>
      <c r="Y113" s="110"/>
      <c r="Z113" s="2"/>
    </row>
    <row r="114" spans="1:26" ht="12.75" customHeight="1" outlineLevel="1" x14ac:dyDescent="0.25">
      <c r="A114" s="194" t="s">
        <v>140</v>
      </c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195"/>
      <c r="Z114" s="2"/>
    </row>
    <row r="115" spans="1:26" ht="38.25" outlineLevel="1" x14ac:dyDescent="0.25">
      <c r="A115" s="5" t="s">
        <v>141</v>
      </c>
      <c r="B115" s="6"/>
      <c r="C115" s="6"/>
      <c r="D115" s="19">
        <f>B115+C115</f>
        <v>0</v>
      </c>
      <c r="E115" s="90"/>
      <c r="F115" s="91"/>
      <c r="G115" s="91"/>
      <c r="H115" s="91"/>
      <c r="I115" s="91"/>
      <c r="J115" s="91"/>
      <c r="K115" s="92"/>
      <c r="L115" s="93" t="s">
        <v>142</v>
      </c>
      <c r="M115" s="91"/>
      <c r="N115" s="91"/>
      <c r="O115" s="91"/>
      <c r="P115" s="92"/>
      <c r="Q115" s="6"/>
      <c r="R115" s="6"/>
      <c r="S115" s="19">
        <f>Q115+R115</f>
        <v>0</v>
      </c>
      <c r="T115" s="90"/>
      <c r="U115" s="91"/>
      <c r="V115" s="91"/>
      <c r="W115" s="91"/>
      <c r="X115" s="91"/>
      <c r="Y115" s="92"/>
      <c r="Z115" s="2"/>
    </row>
    <row r="116" spans="1:26" ht="38.25" outlineLevel="1" x14ac:dyDescent="0.25">
      <c r="A116" s="5" t="s">
        <v>143</v>
      </c>
      <c r="B116" s="6"/>
      <c r="C116" s="6"/>
      <c r="D116" s="19">
        <f>B116+C116</f>
        <v>0</v>
      </c>
      <c r="E116" s="90"/>
      <c r="F116" s="91"/>
      <c r="G116" s="91"/>
      <c r="H116" s="91"/>
      <c r="I116" s="91"/>
      <c r="J116" s="91"/>
      <c r="K116" s="92"/>
      <c r="L116" s="93" t="s">
        <v>144</v>
      </c>
      <c r="M116" s="91"/>
      <c r="N116" s="91"/>
      <c r="O116" s="91"/>
      <c r="P116" s="92"/>
      <c r="Q116" s="6"/>
      <c r="R116" s="6"/>
      <c r="S116" s="19">
        <f>Q116+R116</f>
        <v>0</v>
      </c>
      <c r="T116" s="90"/>
      <c r="U116" s="91"/>
      <c r="V116" s="91"/>
      <c r="W116" s="91"/>
      <c r="X116" s="91"/>
      <c r="Y116" s="92"/>
      <c r="Z116" s="2"/>
    </row>
    <row r="117" spans="1:26" ht="29.25" customHeight="1" outlineLevel="1" x14ac:dyDescent="0.25">
      <c r="A117" s="5" t="s">
        <v>145</v>
      </c>
      <c r="B117" s="6"/>
      <c r="C117" s="6"/>
      <c r="D117" s="19">
        <f>B117+C117</f>
        <v>0</v>
      </c>
      <c r="E117" s="90"/>
      <c r="F117" s="91"/>
      <c r="G117" s="91"/>
      <c r="H117" s="91"/>
      <c r="I117" s="91"/>
      <c r="J117" s="91"/>
      <c r="K117" s="92"/>
      <c r="L117" s="93" t="s">
        <v>146</v>
      </c>
      <c r="M117" s="91"/>
      <c r="N117" s="91"/>
      <c r="O117" s="91"/>
      <c r="P117" s="92"/>
      <c r="Q117" s="6"/>
      <c r="R117" s="6"/>
      <c r="S117" s="19">
        <f>Q117+R117</f>
        <v>0</v>
      </c>
      <c r="T117" s="90"/>
      <c r="U117" s="91"/>
      <c r="V117" s="91"/>
      <c r="W117" s="91"/>
      <c r="X117" s="91"/>
      <c r="Y117" s="92"/>
      <c r="Z117" s="2"/>
    </row>
    <row r="118" spans="1:26" ht="54" customHeight="1" outlineLevel="1" x14ac:dyDescent="0.25">
      <c r="A118" s="5" t="s">
        <v>147</v>
      </c>
      <c r="B118" s="6"/>
      <c r="C118" s="6"/>
      <c r="D118" s="19">
        <f>B118+C118</f>
        <v>0</v>
      </c>
      <c r="E118" s="90"/>
      <c r="F118" s="91"/>
      <c r="G118" s="91"/>
      <c r="H118" s="91"/>
      <c r="I118" s="91"/>
      <c r="J118" s="91"/>
      <c r="K118" s="92"/>
      <c r="L118" s="93" t="s">
        <v>148</v>
      </c>
      <c r="M118" s="91"/>
      <c r="N118" s="91"/>
      <c r="O118" s="91"/>
      <c r="P118" s="92"/>
      <c r="Q118" s="6"/>
      <c r="R118" s="6"/>
      <c r="S118" s="19">
        <f>Q118+R118</f>
        <v>0</v>
      </c>
      <c r="T118" s="90"/>
      <c r="U118" s="91"/>
      <c r="V118" s="91"/>
      <c r="W118" s="91"/>
      <c r="X118" s="91"/>
      <c r="Y118" s="92"/>
      <c r="Z118" s="2"/>
    </row>
    <row r="119" spans="1:26" ht="12.75" customHeight="1" outlineLevel="1" x14ac:dyDescent="0.25">
      <c r="A119" s="100" t="s">
        <v>48</v>
      </c>
      <c r="B119" s="102" t="s">
        <v>105</v>
      </c>
      <c r="C119" s="126"/>
      <c r="D119" s="103"/>
      <c r="E119" s="105" t="s">
        <v>11</v>
      </c>
      <c r="F119" s="106"/>
      <c r="G119" s="106"/>
      <c r="H119" s="106"/>
      <c r="I119" s="106"/>
      <c r="J119" s="106"/>
      <c r="K119" s="107"/>
      <c r="L119" s="122" t="s">
        <v>48</v>
      </c>
      <c r="M119" s="123"/>
      <c r="N119" s="123"/>
      <c r="O119" s="123"/>
      <c r="P119" s="124"/>
      <c r="Q119" s="102" t="s">
        <v>105</v>
      </c>
      <c r="R119" s="126"/>
      <c r="S119" s="103"/>
      <c r="T119" s="105" t="s">
        <v>11</v>
      </c>
      <c r="U119" s="106"/>
      <c r="V119" s="106"/>
      <c r="W119" s="106"/>
      <c r="X119" s="106"/>
      <c r="Y119" s="107"/>
      <c r="Z119" s="2"/>
    </row>
    <row r="120" spans="1:26" ht="12.75" customHeight="1" outlineLevel="1" x14ac:dyDescent="0.25">
      <c r="A120" s="101"/>
      <c r="B120" s="10" t="s">
        <v>106</v>
      </c>
      <c r="C120" s="10" t="s">
        <v>107</v>
      </c>
      <c r="D120" s="10" t="s">
        <v>108</v>
      </c>
      <c r="E120" s="108"/>
      <c r="F120" s="109"/>
      <c r="G120" s="109"/>
      <c r="H120" s="109"/>
      <c r="I120" s="109"/>
      <c r="J120" s="109"/>
      <c r="K120" s="110"/>
      <c r="L120" s="108"/>
      <c r="M120" s="109"/>
      <c r="N120" s="109"/>
      <c r="O120" s="109"/>
      <c r="P120" s="110"/>
      <c r="Q120" s="10" t="s">
        <v>106</v>
      </c>
      <c r="R120" s="10" t="s">
        <v>107</v>
      </c>
      <c r="S120" s="10" t="s">
        <v>108</v>
      </c>
      <c r="T120" s="108"/>
      <c r="U120" s="109"/>
      <c r="V120" s="109"/>
      <c r="W120" s="109"/>
      <c r="X120" s="109"/>
      <c r="Y120" s="110"/>
      <c r="Z120" s="2"/>
    </row>
    <row r="121" spans="1:26" ht="38.25" customHeight="1" outlineLevel="1" x14ac:dyDescent="0.25">
      <c r="A121" s="5" t="s">
        <v>149</v>
      </c>
      <c r="B121" s="6"/>
      <c r="C121" s="6"/>
      <c r="D121" s="19">
        <f>B121+C121</f>
        <v>0</v>
      </c>
      <c r="E121" s="90"/>
      <c r="F121" s="91"/>
      <c r="G121" s="91"/>
      <c r="H121" s="91"/>
      <c r="I121" s="91"/>
      <c r="J121" s="91"/>
      <c r="K121" s="92"/>
      <c r="L121" s="127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9"/>
      <c r="Z121" s="2"/>
    </row>
    <row r="122" spans="1:26" ht="51" outlineLevel="1" x14ac:dyDescent="0.25">
      <c r="A122" s="5" t="s">
        <v>150</v>
      </c>
      <c r="B122" s="6"/>
      <c r="C122" s="6"/>
      <c r="D122" s="19">
        <f>B122+C122</f>
        <v>0</v>
      </c>
      <c r="E122" s="90"/>
      <c r="F122" s="91"/>
      <c r="G122" s="91"/>
      <c r="H122" s="91"/>
      <c r="I122" s="91"/>
      <c r="J122" s="91"/>
      <c r="K122" s="92"/>
      <c r="L122" s="128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30"/>
      <c r="Z122" s="2"/>
    </row>
    <row r="123" spans="1:26" ht="12.75" customHeight="1" outlineLevel="1" x14ac:dyDescent="0.25">
      <c r="A123" s="118" t="s">
        <v>48</v>
      </c>
      <c r="B123" s="119" t="s">
        <v>105</v>
      </c>
      <c r="C123" s="120"/>
      <c r="D123" s="121"/>
      <c r="E123" s="125" t="s">
        <v>11</v>
      </c>
      <c r="F123" s="123"/>
      <c r="G123" s="123"/>
      <c r="H123" s="123"/>
      <c r="I123" s="123"/>
      <c r="J123" s="123"/>
      <c r="K123" s="124"/>
      <c r="L123" s="122" t="s">
        <v>48</v>
      </c>
      <c r="M123" s="123"/>
      <c r="N123" s="123"/>
      <c r="O123" s="123"/>
      <c r="P123" s="124"/>
      <c r="Q123" s="119" t="s">
        <v>105</v>
      </c>
      <c r="R123" s="120"/>
      <c r="S123" s="121"/>
      <c r="T123" s="125" t="s">
        <v>11</v>
      </c>
      <c r="U123" s="123"/>
      <c r="V123" s="123"/>
      <c r="W123" s="123"/>
      <c r="X123" s="123"/>
      <c r="Y123" s="124"/>
      <c r="Z123" s="2"/>
    </row>
    <row r="124" spans="1:26" ht="12.75" customHeight="1" outlineLevel="1" x14ac:dyDescent="0.25">
      <c r="A124" s="101"/>
      <c r="B124" s="10" t="s">
        <v>106</v>
      </c>
      <c r="C124" s="10" t="s">
        <v>107</v>
      </c>
      <c r="D124" s="10" t="s">
        <v>108</v>
      </c>
      <c r="E124" s="108"/>
      <c r="F124" s="109"/>
      <c r="G124" s="109"/>
      <c r="H124" s="109"/>
      <c r="I124" s="109"/>
      <c r="J124" s="109"/>
      <c r="K124" s="110"/>
      <c r="L124" s="108"/>
      <c r="M124" s="109"/>
      <c r="N124" s="109"/>
      <c r="O124" s="109"/>
      <c r="P124" s="110"/>
      <c r="Q124" s="10" t="s">
        <v>106</v>
      </c>
      <c r="R124" s="10" t="s">
        <v>107</v>
      </c>
      <c r="S124" s="10" t="s">
        <v>108</v>
      </c>
      <c r="T124" s="108"/>
      <c r="U124" s="109"/>
      <c r="V124" s="109"/>
      <c r="W124" s="109"/>
      <c r="X124" s="109"/>
      <c r="Y124" s="110"/>
      <c r="Z124" s="2"/>
    </row>
    <row r="125" spans="1:26" ht="42" customHeight="1" outlineLevel="1" x14ac:dyDescent="0.25">
      <c r="A125" s="23" t="s">
        <v>151</v>
      </c>
      <c r="B125" s="6"/>
      <c r="C125" s="6"/>
      <c r="D125" s="19">
        <f>B125+C125</f>
        <v>0</v>
      </c>
      <c r="E125" s="90"/>
      <c r="F125" s="91"/>
      <c r="G125" s="91"/>
      <c r="H125" s="91"/>
      <c r="I125" s="91"/>
      <c r="J125" s="91"/>
      <c r="K125" s="92"/>
      <c r="L125" s="93" t="s">
        <v>152</v>
      </c>
      <c r="M125" s="91"/>
      <c r="N125" s="91"/>
      <c r="O125" s="91"/>
      <c r="P125" s="92"/>
      <c r="Q125" s="6"/>
      <c r="R125" s="6"/>
      <c r="S125" s="19">
        <f>Q125+R125</f>
        <v>0</v>
      </c>
      <c r="T125" s="90"/>
      <c r="U125" s="91"/>
      <c r="V125" s="91"/>
      <c r="W125" s="91"/>
      <c r="X125" s="91"/>
      <c r="Y125" s="92"/>
      <c r="Z125" s="2"/>
    </row>
    <row r="126" spans="1:26" ht="16.5" customHeight="1" outlineLevel="1" x14ac:dyDescent="0.25">
      <c r="A126" s="23" t="s">
        <v>153</v>
      </c>
      <c r="B126" s="6"/>
      <c r="C126" s="6"/>
      <c r="D126" s="19">
        <f>B126+C126</f>
        <v>0</v>
      </c>
      <c r="E126" s="90"/>
      <c r="F126" s="91"/>
      <c r="G126" s="91"/>
      <c r="H126" s="91"/>
      <c r="I126" s="91"/>
      <c r="J126" s="91"/>
      <c r="K126" s="92"/>
      <c r="L126" s="90" t="s">
        <v>154</v>
      </c>
      <c r="M126" s="91"/>
      <c r="N126" s="91"/>
      <c r="O126" s="91"/>
      <c r="P126" s="92"/>
      <c r="Q126" s="6"/>
      <c r="R126" s="6"/>
      <c r="S126" s="19">
        <f>Q126+R126</f>
        <v>0</v>
      </c>
      <c r="T126" s="90"/>
      <c r="U126" s="91"/>
      <c r="V126" s="91"/>
      <c r="W126" s="91"/>
      <c r="X126" s="91"/>
      <c r="Y126" s="92"/>
      <c r="Z126" s="2"/>
    </row>
    <row r="127" spans="1:26" ht="16.5" customHeight="1" outlineLevel="1" x14ac:dyDescent="0.25">
      <c r="A127" s="23" t="s">
        <v>155</v>
      </c>
      <c r="B127" s="6"/>
      <c r="C127" s="6"/>
      <c r="D127" s="19">
        <f>B127+C127</f>
        <v>0</v>
      </c>
      <c r="E127" s="90"/>
      <c r="F127" s="91"/>
      <c r="G127" s="91"/>
      <c r="H127" s="91"/>
      <c r="I127" s="91"/>
      <c r="J127" s="91"/>
      <c r="K127" s="92"/>
      <c r="L127" s="90" t="s">
        <v>156</v>
      </c>
      <c r="M127" s="91"/>
      <c r="N127" s="91"/>
      <c r="O127" s="91"/>
      <c r="P127" s="92"/>
      <c r="Q127" s="6"/>
      <c r="R127" s="6"/>
      <c r="S127" s="19">
        <f>Q127+R127</f>
        <v>0</v>
      </c>
      <c r="T127" s="90"/>
      <c r="U127" s="91"/>
      <c r="V127" s="91"/>
      <c r="W127" s="91"/>
      <c r="X127" s="91"/>
      <c r="Y127" s="92"/>
      <c r="Z127" s="2"/>
    </row>
    <row r="128" spans="1:26" ht="16.5" customHeight="1" outlineLevel="1" x14ac:dyDescent="0.25">
      <c r="A128" s="23" t="s">
        <v>157</v>
      </c>
      <c r="B128" s="6"/>
      <c r="C128" s="6"/>
      <c r="D128" s="19">
        <f>B128+C128</f>
        <v>0</v>
      </c>
      <c r="E128" s="90"/>
      <c r="F128" s="91"/>
      <c r="G128" s="91"/>
      <c r="H128" s="91"/>
      <c r="I128" s="91"/>
      <c r="J128" s="91"/>
      <c r="K128" s="92"/>
      <c r="L128" s="93" t="s">
        <v>158</v>
      </c>
      <c r="M128" s="91"/>
      <c r="N128" s="91"/>
      <c r="O128" s="91"/>
      <c r="P128" s="92"/>
      <c r="Q128" s="6"/>
      <c r="R128" s="6"/>
      <c r="S128" s="19">
        <f>Q128+R128</f>
        <v>0</v>
      </c>
      <c r="T128" s="90"/>
      <c r="U128" s="91"/>
      <c r="V128" s="91"/>
      <c r="W128" s="91"/>
      <c r="X128" s="91"/>
      <c r="Y128" s="92"/>
      <c r="Z128" s="2"/>
    </row>
    <row r="129" spans="1:26" ht="16.5" customHeight="1" outlineLevel="1" x14ac:dyDescent="0.25">
      <c r="A129" s="23" t="s">
        <v>159</v>
      </c>
      <c r="B129" s="6"/>
      <c r="C129" s="6"/>
      <c r="D129" s="19">
        <f>B129+C129</f>
        <v>0</v>
      </c>
      <c r="E129" s="90"/>
      <c r="F129" s="91"/>
      <c r="G129" s="91"/>
      <c r="H129" s="91"/>
      <c r="I129" s="91"/>
      <c r="J129" s="91"/>
      <c r="K129" s="92"/>
      <c r="L129" s="93" t="s">
        <v>160</v>
      </c>
      <c r="M129" s="91"/>
      <c r="N129" s="91"/>
      <c r="O129" s="91"/>
      <c r="P129" s="92"/>
      <c r="Q129" s="6"/>
      <c r="R129" s="6"/>
      <c r="S129" s="19">
        <f>Q129+R129</f>
        <v>0</v>
      </c>
      <c r="T129" s="90"/>
      <c r="U129" s="91"/>
      <c r="V129" s="91"/>
      <c r="W129" s="91"/>
      <c r="X129" s="91"/>
      <c r="Y129" s="92"/>
      <c r="Z129" s="2"/>
    </row>
    <row r="130" spans="1:26" ht="16.5" customHeight="1" outlineLevel="1" x14ac:dyDescent="0.25">
      <c r="A130" s="23" t="s">
        <v>161</v>
      </c>
      <c r="B130" s="6"/>
      <c r="C130" s="6"/>
      <c r="D130" s="19">
        <f>B130+C130</f>
        <v>0</v>
      </c>
      <c r="E130" s="90"/>
      <c r="F130" s="91"/>
      <c r="G130" s="91"/>
      <c r="H130" s="91"/>
      <c r="I130" s="91"/>
      <c r="J130" s="91"/>
      <c r="K130" s="92"/>
      <c r="L130" s="93" t="s">
        <v>162</v>
      </c>
      <c r="M130" s="91"/>
      <c r="N130" s="91"/>
      <c r="O130" s="91"/>
      <c r="P130" s="92"/>
      <c r="Q130" s="6"/>
      <c r="R130" s="6"/>
      <c r="S130" s="19">
        <f>Q130+R130</f>
        <v>0</v>
      </c>
      <c r="T130" s="90"/>
      <c r="U130" s="91"/>
      <c r="V130" s="91"/>
      <c r="W130" s="91"/>
      <c r="X130" s="91"/>
      <c r="Y130" s="92"/>
      <c r="Z130" s="2"/>
    </row>
    <row r="131" spans="1:26" ht="16.5" customHeight="1" outlineLevel="1" x14ac:dyDescent="0.25">
      <c r="A131" s="23" t="s">
        <v>163</v>
      </c>
      <c r="B131" s="6"/>
      <c r="C131" s="6"/>
      <c r="D131" s="19">
        <f>B131+C131</f>
        <v>0</v>
      </c>
      <c r="E131" s="90"/>
      <c r="F131" s="91"/>
      <c r="G131" s="91"/>
      <c r="H131" s="91"/>
      <c r="I131" s="91"/>
      <c r="J131" s="91"/>
      <c r="K131" s="92"/>
      <c r="L131" s="117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5"/>
      <c r="Z131" s="2"/>
    </row>
    <row r="132" spans="1:26" ht="12.75" customHeight="1" outlineLevel="1" x14ac:dyDescent="0.25">
      <c r="A132" s="118" t="s">
        <v>48</v>
      </c>
      <c r="B132" s="119" t="s">
        <v>105</v>
      </c>
      <c r="C132" s="120"/>
      <c r="D132" s="121"/>
      <c r="E132" s="125" t="s">
        <v>11</v>
      </c>
      <c r="F132" s="123"/>
      <c r="G132" s="123"/>
      <c r="H132" s="123"/>
      <c r="I132" s="123"/>
      <c r="J132" s="123"/>
      <c r="K132" s="124"/>
      <c r="L132" s="122" t="s">
        <v>48</v>
      </c>
      <c r="M132" s="123"/>
      <c r="N132" s="123"/>
      <c r="O132" s="123"/>
      <c r="P132" s="124"/>
      <c r="Q132" s="119" t="s">
        <v>105</v>
      </c>
      <c r="R132" s="120"/>
      <c r="S132" s="121"/>
      <c r="T132" s="125" t="s">
        <v>11</v>
      </c>
      <c r="U132" s="123"/>
      <c r="V132" s="123"/>
      <c r="W132" s="123"/>
      <c r="X132" s="123"/>
      <c r="Y132" s="124"/>
      <c r="Z132" s="2"/>
    </row>
    <row r="133" spans="1:26" ht="12.75" customHeight="1" outlineLevel="1" x14ac:dyDescent="0.25">
      <c r="A133" s="101"/>
      <c r="B133" s="10" t="s">
        <v>106</v>
      </c>
      <c r="C133" s="10" t="s">
        <v>107</v>
      </c>
      <c r="D133" s="10" t="s">
        <v>108</v>
      </c>
      <c r="E133" s="108"/>
      <c r="F133" s="109"/>
      <c r="G133" s="109"/>
      <c r="H133" s="109"/>
      <c r="I133" s="109"/>
      <c r="J133" s="109"/>
      <c r="K133" s="110"/>
      <c r="L133" s="108"/>
      <c r="M133" s="109"/>
      <c r="N133" s="109"/>
      <c r="O133" s="109"/>
      <c r="P133" s="110"/>
      <c r="Q133" s="10" t="s">
        <v>106</v>
      </c>
      <c r="R133" s="10" t="s">
        <v>107</v>
      </c>
      <c r="S133" s="10" t="s">
        <v>108</v>
      </c>
      <c r="T133" s="108"/>
      <c r="U133" s="109"/>
      <c r="V133" s="109"/>
      <c r="W133" s="109"/>
      <c r="X133" s="109"/>
      <c r="Y133" s="110"/>
      <c r="Z133" s="2"/>
    </row>
    <row r="134" spans="1:26" ht="12.75" customHeight="1" outlineLevel="1" x14ac:dyDescent="0.25">
      <c r="A134" s="194" t="s">
        <v>164</v>
      </c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195"/>
      <c r="Z134" s="2"/>
    </row>
    <row r="135" spans="1:26" ht="52.5" customHeight="1" outlineLevel="1" x14ac:dyDescent="0.25">
      <c r="A135" s="23" t="s">
        <v>165</v>
      </c>
      <c r="B135" s="6"/>
      <c r="C135" s="6"/>
      <c r="D135" s="19"/>
      <c r="E135" s="90"/>
      <c r="F135" s="91"/>
      <c r="G135" s="91"/>
      <c r="H135" s="91"/>
      <c r="I135" s="91"/>
      <c r="J135" s="91"/>
      <c r="K135" s="92"/>
      <c r="L135" s="93" t="s">
        <v>166</v>
      </c>
      <c r="M135" s="91"/>
      <c r="N135" s="91"/>
      <c r="O135" s="91"/>
      <c r="P135" s="92"/>
      <c r="Q135" s="6"/>
      <c r="R135" s="6"/>
      <c r="S135" s="19"/>
      <c r="T135" s="90"/>
      <c r="U135" s="91"/>
      <c r="V135" s="91"/>
      <c r="W135" s="91"/>
      <c r="X135" s="91"/>
      <c r="Y135" s="92"/>
      <c r="Z135" s="2"/>
    </row>
    <row r="136" spans="1:26" ht="36" customHeight="1" outlineLevel="1" x14ac:dyDescent="0.25">
      <c r="A136" s="23" t="s">
        <v>167</v>
      </c>
      <c r="B136" s="6"/>
      <c r="C136" s="6"/>
      <c r="D136" s="19"/>
      <c r="E136" s="90"/>
      <c r="F136" s="91"/>
      <c r="G136" s="91"/>
      <c r="H136" s="91"/>
      <c r="I136" s="91"/>
      <c r="J136" s="91"/>
      <c r="K136" s="92"/>
      <c r="L136" s="93" t="s">
        <v>168</v>
      </c>
      <c r="M136" s="91"/>
      <c r="N136" s="91"/>
      <c r="O136" s="91"/>
      <c r="P136" s="92"/>
      <c r="Q136" s="6"/>
      <c r="R136" s="6"/>
      <c r="S136" s="19"/>
      <c r="T136" s="90"/>
      <c r="U136" s="91"/>
      <c r="V136" s="91"/>
      <c r="W136" s="91"/>
      <c r="X136" s="91"/>
      <c r="Y136" s="92"/>
      <c r="Z136" s="2"/>
    </row>
    <row r="137" spans="1:26" ht="54.75" customHeight="1" outlineLevel="1" x14ac:dyDescent="0.25">
      <c r="A137" s="23" t="s">
        <v>169</v>
      </c>
      <c r="B137" s="6"/>
      <c r="C137" s="6"/>
      <c r="D137" s="19"/>
      <c r="E137" s="90"/>
      <c r="F137" s="91"/>
      <c r="G137" s="91"/>
      <c r="H137" s="91"/>
      <c r="I137" s="91"/>
      <c r="J137" s="91"/>
      <c r="K137" s="92"/>
      <c r="L137" s="93" t="s">
        <v>170</v>
      </c>
      <c r="M137" s="91"/>
      <c r="N137" s="91"/>
      <c r="O137" s="91"/>
      <c r="P137" s="92"/>
      <c r="Q137" s="6"/>
      <c r="R137" s="6"/>
      <c r="S137" s="19"/>
      <c r="T137" s="90"/>
      <c r="U137" s="91"/>
      <c r="V137" s="91"/>
      <c r="W137" s="91"/>
      <c r="X137" s="91"/>
      <c r="Y137" s="92"/>
      <c r="Z137" s="2"/>
    </row>
    <row r="138" spans="1:26" ht="30" customHeight="1" outlineLevel="1" x14ac:dyDescent="0.25">
      <c r="A138" s="23" t="s">
        <v>171</v>
      </c>
      <c r="B138" s="6"/>
      <c r="C138" s="6"/>
      <c r="D138" s="19"/>
      <c r="E138" s="90"/>
      <c r="F138" s="91"/>
      <c r="G138" s="91"/>
      <c r="H138" s="91"/>
      <c r="I138" s="91"/>
      <c r="J138" s="91"/>
      <c r="K138" s="92"/>
      <c r="L138" s="93" t="s">
        <v>172</v>
      </c>
      <c r="M138" s="91"/>
      <c r="N138" s="91"/>
      <c r="O138" s="91"/>
      <c r="P138" s="92"/>
      <c r="Q138" s="6"/>
      <c r="R138" s="6"/>
      <c r="S138" s="19"/>
      <c r="T138" s="90"/>
      <c r="U138" s="91"/>
      <c r="V138" s="91"/>
      <c r="W138" s="91"/>
      <c r="X138" s="91"/>
      <c r="Y138" s="92"/>
      <c r="Z138" s="2"/>
    </row>
    <row r="139" spans="1:26" ht="12.75" customHeight="1" outlineLevel="1" x14ac:dyDescent="0.25">
      <c r="A139" s="23" t="s">
        <v>173</v>
      </c>
      <c r="B139" s="6"/>
      <c r="C139" s="6"/>
      <c r="D139" s="19"/>
      <c r="E139" s="90"/>
      <c r="F139" s="91"/>
      <c r="G139" s="91"/>
      <c r="H139" s="91"/>
      <c r="I139" s="91"/>
      <c r="J139" s="91"/>
      <c r="K139" s="92"/>
      <c r="L139" s="134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2"/>
      <c r="Z139" s="2"/>
    </row>
    <row r="140" spans="1:26" ht="12.75" customHeight="1" x14ac:dyDescent="0.25">
      <c r="A140" s="135" t="s">
        <v>174</v>
      </c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1"/>
      <c r="Z140" s="2"/>
    </row>
    <row r="141" spans="1:26" ht="12.75" customHeight="1" outlineLevel="1" x14ac:dyDescent="0.25">
      <c r="A141" s="100" t="s">
        <v>48</v>
      </c>
      <c r="B141" s="102" t="s">
        <v>105</v>
      </c>
      <c r="C141" s="103"/>
      <c r="D141" s="104" t="s">
        <v>108</v>
      </c>
      <c r="E141" s="105" t="s">
        <v>11</v>
      </c>
      <c r="F141" s="106"/>
      <c r="G141" s="106"/>
      <c r="H141" s="106"/>
      <c r="I141" s="106"/>
      <c r="J141" s="106"/>
      <c r="K141" s="107"/>
      <c r="L141" s="111" t="s">
        <v>48</v>
      </c>
      <c r="M141" s="106"/>
      <c r="N141" s="106"/>
      <c r="O141" s="107"/>
      <c r="P141" s="102" t="s">
        <v>105</v>
      </c>
      <c r="Q141" s="103"/>
      <c r="R141" s="104" t="s">
        <v>108</v>
      </c>
      <c r="S141" s="105" t="s">
        <v>11</v>
      </c>
      <c r="T141" s="106"/>
      <c r="U141" s="106"/>
      <c r="V141" s="106"/>
      <c r="W141" s="106"/>
      <c r="X141" s="106"/>
      <c r="Y141" s="107"/>
      <c r="Z141" s="2"/>
    </row>
    <row r="142" spans="1:26" ht="12.75" customHeight="1" outlineLevel="1" x14ac:dyDescent="0.25">
      <c r="A142" s="101"/>
      <c r="B142" s="10" t="s">
        <v>106</v>
      </c>
      <c r="C142" s="10" t="s">
        <v>107</v>
      </c>
      <c r="D142" s="101"/>
      <c r="E142" s="108"/>
      <c r="F142" s="109"/>
      <c r="G142" s="109"/>
      <c r="H142" s="109"/>
      <c r="I142" s="109"/>
      <c r="J142" s="109"/>
      <c r="K142" s="110"/>
      <c r="L142" s="108"/>
      <c r="M142" s="109"/>
      <c r="N142" s="109"/>
      <c r="O142" s="110"/>
      <c r="P142" s="10" t="s">
        <v>106</v>
      </c>
      <c r="Q142" s="10" t="s">
        <v>107</v>
      </c>
      <c r="R142" s="101"/>
      <c r="S142" s="108"/>
      <c r="T142" s="109"/>
      <c r="U142" s="109"/>
      <c r="V142" s="109"/>
      <c r="W142" s="109"/>
      <c r="X142" s="109"/>
      <c r="Y142" s="110"/>
      <c r="Z142" s="2"/>
    </row>
    <row r="143" spans="1:26" ht="51" outlineLevel="1" x14ac:dyDescent="0.25">
      <c r="A143" s="24" t="s">
        <v>175</v>
      </c>
      <c r="B143" s="25"/>
      <c r="C143" s="25"/>
      <c r="D143" s="26"/>
      <c r="E143" s="217"/>
      <c r="F143" s="140"/>
      <c r="G143" s="140"/>
      <c r="H143" s="140"/>
      <c r="I143" s="140"/>
      <c r="J143" s="140"/>
      <c r="K143" s="141"/>
      <c r="L143" s="226" t="s">
        <v>176</v>
      </c>
      <c r="M143" s="140"/>
      <c r="N143" s="140"/>
      <c r="O143" s="141"/>
      <c r="P143" s="26"/>
      <c r="Q143" s="26"/>
      <c r="R143" s="26"/>
      <c r="S143" s="217"/>
      <c r="T143" s="140"/>
      <c r="U143" s="140"/>
      <c r="V143" s="140"/>
      <c r="W143" s="140"/>
      <c r="X143" s="140"/>
      <c r="Y143" s="141"/>
      <c r="Z143" s="2"/>
    </row>
    <row r="144" spans="1:26" ht="38.25" outlineLevel="1" x14ac:dyDescent="0.25">
      <c r="A144" s="5" t="s">
        <v>177</v>
      </c>
      <c r="B144" s="19"/>
      <c r="C144" s="19"/>
      <c r="D144" s="19"/>
      <c r="E144" s="90"/>
      <c r="F144" s="91"/>
      <c r="G144" s="91"/>
      <c r="H144" s="91"/>
      <c r="I144" s="91"/>
      <c r="J144" s="91"/>
      <c r="K144" s="92"/>
      <c r="L144" s="93" t="s">
        <v>178</v>
      </c>
      <c r="M144" s="91"/>
      <c r="N144" s="91"/>
      <c r="O144" s="92"/>
      <c r="P144" s="6"/>
      <c r="Q144" s="6"/>
      <c r="R144" s="19"/>
      <c r="S144" s="90"/>
      <c r="T144" s="91"/>
      <c r="U144" s="91"/>
      <c r="V144" s="91"/>
      <c r="W144" s="91"/>
      <c r="X144" s="91"/>
      <c r="Y144" s="92"/>
      <c r="Z144" s="2"/>
    </row>
    <row r="145" spans="1:26" ht="38.25" outlineLevel="1" x14ac:dyDescent="0.25">
      <c r="A145" s="5" t="s">
        <v>179</v>
      </c>
      <c r="B145" s="6"/>
      <c r="C145" s="6"/>
      <c r="D145" s="19"/>
      <c r="E145" s="90"/>
      <c r="F145" s="91"/>
      <c r="G145" s="91"/>
      <c r="H145" s="91"/>
      <c r="I145" s="91"/>
      <c r="J145" s="91"/>
      <c r="K145" s="92"/>
      <c r="L145" s="93" t="s">
        <v>180</v>
      </c>
      <c r="M145" s="91"/>
      <c r="N145" s="91"/>
      <c r="O145" s="92"/>
      <c r="P145" s="6"/>
      <c r="Q145" s="6"/>
      <c r="R145" s="19"/>
      <c r="S145" s="90"/>
      <c r="T145" s="91"/>
      <c r="U145" s="91"/>
      <c r="V145" s="91"/>
      <c r="W145" s="91"/>
      <c r="X145" s="91"/>
      <c r="Y145" s="92"/>
      <c r="Z145" s="2"/>
    </row>
    <row r="146" spans="1:26" ht="25.5" outlineLevel="1" x14ac:dyDescent="0.25">
      <c r="A146" s="16" t="s">
        <v>181</v>
      </c>
      <c r="B146" s="15"/>
      <c r="C146" s="15"/>
      <c r="D146" s="27"/>
      <c r="E146" s="175"/>
      <c r="F146" s="98"/>
      <c r="G146" s="98"/>
      <c r="H146" s="98"/>
      <c r="I146" s="98"/>
      <c r="J146" s="98"/>
      <c r="K146" s="99"/>
      <c r="L146" s="93" t="s">
        <v>182</v>
      </c>
      <c r="M146" s="91"/>
      <c r="N146" s="91"/>
      <c r="O146" s="92"/>
      <c r="P146" s="19"/>
      <c r="Q146" s="19"/>
      <c r="R146" s="19"/>
      <c r="S146" s="90"/>
      <c r="T146" s="91"/>
      <c r="U146" s="91"/>
      <c r="V146" s="91"/>
      <c r="W146" s="91"/>
      <c r="X146" s="91"/>
      <c r="Y146" s="92"/>
      <c r="Z146" s="2"/>
    </row>
    <row r="147" spans="1:26" outlineLevel="1" x14ac:dyDescent="0.25">
      <c r="A147" s="219" t="s">
        <v>183</v>
      </c>
      <c r="B147" s="221"/>
      <c r="C147" s="221"/>
      <c r="D147" s="223"/>
      <c r="E147" s="224"/>
      <c r="F147" s="98"/>
      <c r="G147" s="98"/>
      <c r="H147" s="98"/>
      <c r="I147" s="98"/>
      <c r="J147" s="98"/>
      <c r="K147" s="99"/>
      <c r="L147" s="111" t="s">
        <v>48</v>
      </c>
      <c r="M147" s="106"/>
      <c r="N147" s="106"/>
      <c r="O147" s="107"/>
      <c r="P147" s="225" t="s">
        <v>9</v>
      </c>
      <c r="Q147" s="151"/>
      <c r="R147" s="152"/>
      <c r="S147" s="104" t="s">
        <v>108</v>
      </c>
      <c r="T147" s="105" t="s">
        <v>11</v>
      </c>
      <c r="U147" s="106"/>
      <c r="V147" s="106"/>
      <c r="W147" s="106"/>
      <c r="X147" s="106"/>
      <c r="Y147" s="107"/>
      <c r="Z147" s="2"/>
    </row>
    <row r="148" spans="1:26" ht="12.75" customHeight="1" outlineLevel="1" x14ac:dyDescent="0.25">
      <c r="A148" s="220"/>
      <c r="B148" s="222"/>
      <c r="C148" s="222"/>
      <c r="D148" s="222"/>
      <c r="E148" s="214"/>
      <c r="F148" s="140"/>
      <c r="G148" s="140"/>
      <c r="H148" s="140"/>
      <c r="I148" s="140"/>
      <c r="J148" s="140"/>
      <c r="K148" s="141"/>
      <c r="L148" s="108"/>
      <c r="M148" s="109"/>
      <c r="N148" s="109"/>
      <c r="O148" s="110"/>
      <c r="P148" s="28">
        <v>45944</v>
      </c>
      <c r="Q148" s="10" t="s">
        <v>26</v>
      </c>
      <c r="R148" s="10" t="s">
        <v>27</v>
      </c>
      <c r="S148" s="101"/>
      <c r="T148" s="108"/>
      <c r="U148" s="109"/>
      <c r="V148" s="109"/>
      <c r="W148" s="109"/>
      <c r="X148" s="109"/>
      <c r="Y148" s="110"/>
      <c r="Z148" s="2"/>
    </row>
    <row r="149" spans="1:26" ht="25.5" customHeight="1" outlineLevel="1" x14ac:dyDescent="0.25">
      <c r="A149" s="134"/>
      <c r="B149" s="91"/>
      <c r="C149" s="91"/>
      <c r="D149" s="91"/>
      <c r="E149" s="91"/>
      <c r="F149" s="91"/>
      <c r="G149" s="91"/>
      <c r="H149" s="91"/>
      <c r="I149" s="91"/>
      <c r="J149" s="91"/>
      <c r="K149" s="216"/>
      <c r="L149" s="93" t="s">
        <v>184</v>
      </c>
      <c r="M149" s="91"/>
      <c r="N149" s="91"/>
      <c r="O149" s="92"/>
      <c r="P149" s="17"/>
      <c r="Q149" s="17"/>
      <c r="R149" s="17"/>
      <c r="S149" s="26"/>
      <c r="T149" s="217"/>
      <c r="U149" s="140"/>
      <c r="V149" s="140"/>
      <c r="W149" s="140"/>
      <c r="X149" s="140"/>
      <c r="Y149" s="141"/>
      <c r="Z149" s="2"/>
    </row>
    <row r="150" spans="1:26" ht="12.75" customHeight="1" x14ac:dyDescent="0.25">
      <c r="A150" s="218" t="s">
        <v>185</v>
      </c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03"/>
      <c r="Z150" s="2"/>
    </row>
    <row r="151" spans="1:26" ht="12.75" customHeight="1" outlineLevel="1" x14ac:dyDescent="0.25">
      <c r="A151" s="100" t="s">
        <v>48</v>
      </c>
      <c r="B151" s="102" t="s">
        <v>105</v>
      </c>
      <c r="C151" s="103"/>
      <c r="D151" s="104" t="s">
        <v>108</v>
      </c>
      <c r="E151" s="105" t="s">
        <v>11</v>
      </c>
      <c r="F151" s="106"/>
      <c r="G151" s="106"/>
      <c r="H151" s="106"/>
      <c r="I151" s="106"/>
      <c r="J151" s="106"/>
      <c r="K151" s="107"/>
      <c r="L151" s="111" t="s">
        <v>48</v>
      </c>
      <c r="M151" s="106"/>
      <c r="N151" s="106"/>
      <c r="O151" s="107"/>
      <c r="P151" s="102" t="s">
        <v>105</v>
      </c>
      <c r="Q151" s="103"/>
      <c r="R151" s="104" t="s">
        <v>108</v>
      </c>
      <c r="S151" s="105" t="s">
        <v>11</v>
      </c>
      <c r="T151" s="106"/>
      <c r="U151" s="106"/>
      <c r="V151" s="106"/>
      <c r="W151" s="106"/>
      <c r="X151" s="106"/>
      <c r="Y151" s="107"/>
      <c r="Z151" s="2"/>
    </row>
    <row r="152" spans="1:26" ht="12.75" customHeight="1" outlineLevel="1" x14ac:dyDescent="0.25">
      <c r="A152" s="101"/>
      <c r="B152" s="10" t="s">
        <v>106</v>
      </c>
      <c r="C152" s="10" t="s">
        <v>107</v>
      </c>
      <c r="D152" s="101"/>
      <c r="E152" s="108"/>
      <c r="F152" s="109"/>
      <c r="G152" s="109"/>
      <c r="H152" s="109"/>
      <c r="I152" s="109"/>
      <c r="J152" s="109"/>
      <c r="K152" s="110"/>
      <c r="L152" s="108"/>
      <c r="M152" s="109"/>
      <c r="N152" s="109"/>
      <c r="O152" s="110"/>
      <c r="P152" s="10" t="s">
        <v>106</v>
      </c>
      <c r="Q152" s="10" t="s">
        <v>107</v>
      </c>
      <c r="R152" s="101"/>
      <c r="S152" s="108"/>
      <c r="T152" s="109"/>
      <c r="U152" s="109"/>
      <c r="V152" s="109"/>
      <c r="W152" s="109"/>
      <c r="X152" s="109"/>
      <c r="Y152" s="110"/>
      <c r="Z152" s="2"/>
    </row>
    <row r="153" spans="1:26" ht="12.75" customHeight="1" outlineLevel="1" x14ac:dyDescent="0.25">
      <c r="A153" s="113" t="s">
        <v>186</v>
      </c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5"/>
      <c r="Z153" s="2"/>
    </row>
    <row r="154" spans="1:26" ht="46.5" customHeight="1" outlineLevel="1" x14ac:dyDescent="0.25">
      <c r="A154" s="5" t="s">
        <v>187</v>
      </c>
      <c r="B154" s="6"/>
      <c r="C154" s="6"/>
      <c r="D154" s="19"/>
      <c r="E154" s="90"/>
      <c r="F154" s="91"/>
      <c r="G154" s="91"/>
      <c r="H154" s="91"/>
      <c r="I154" s="91"/>
      <c r="J154" s="91"/>
      <c r="K154" s="92"/>
      <c r="L154" s="93" t="s">
        <v>188</v>
      </c>
      <c r="M154" s="91"/>
      <c r="N154" s="91"/>
      <c r="O154" s="92"/>
      <c r="P154" s="6"/>
      <c r="Q154" s="6"/>
      <c r="R154" s="19"/>
      <c r="S154" s="90"/>
      <c r="T154" s="91"/>
      <c r="U154" s="91"/>
      <c r="V154" s="91"/>
      <c r="W154" s="91"/>
      <c r="X154" s="91"/>
      <c r="Y154" s="92"/>
      <c r="Z154" s="2"/>
    </row>
    <row r="155" spans="1:26" ht="14.25" customHeight="1" outlineLevel="1" x14ac:dyDescent="0.25">
      <c r="A155" s="5" t="s">
        <v>189</v>
      </c>
      <c r="B155" s="6"/>
      <c r="C155" s="6"/>
      <c r="D155" s="19"/>
      <c r="E155" s="90"/>
      <c r="F155" s="91"/>
      <c r="G155" s="91"/>
      <c r="H155" s="91"/>
      <c r="I155" s="91"/>
      <c r="J155" s="91"/>
      <c r="K155" s="92"/>
      <c r="L155" s="93" t="s">
        <v>190</v>
      </c>
      <c r="M155" s="91"/>
      <c r="N155" s="91"/>
      <c r="O155" s="92"/>
      <c r="P155" s="6"/>
      <c r="Q155" s="6"/>
      <c r="R155" s="19"/>
      <c r="S155" s="90"/>
      <c r="T155" s="91"/>
      <c r="U155" s="91"/>
      <c r="V155" s="91"/>
      <c r="W155" s="91"/>
      <c r="X155" s="91"/>
      <c r="Y155" s="92"/>
      <c r="Z155" s="2"/>
    </row>
    <row r="156" spans="1:26" ht="14.25" customHeight="1" outlineLevel="1" x14ac:dyDescent="0.25">
      <c r="A156" s="5" t="s">
        <v>191</v>
      </c>
      <c r="B156" s="6"/>
      <c r="C156" s="6"/>
      <c r="D156" s="19"/>
      <c r="E156" s="90"/>
      <c r="F156" s="91"/>
      <c r="G156" s="91"/>
      <c r="H156" s="91"/>
      <c r="I156" s="91"/>
      <c r="J156" s="91"/>
      <c r="K156" s="92"/>
      <c r="L156" s="93" t="s">
        <v>192</v>
      </c>
      <c r="M156" s="91"/>
      <c r="N156" s="91"/>
      <c r="O156" s="92"/>
      <c r="P156" s="6"/>
      <c r="Q156" s="6"/>
      <c r="R156" s="19"/>
      <c r="S156" s="90"/>
      <c r="T156" s="91"/>
      <c r="U156" s="91"/>
      <c r="V156" s="91"/>
      <c r="W156" s="91"/>
      <c r="X156" s="91"/>
      <c r="Y156" s="92"/>
      <c r="Z156" s="2"/>
    </row>
    <row r="157" spans="1:26" ht="14.25" customHeight="1" outlineLevel="1" x14ac:dyDescent="0.25">
      <c r="A157" s="5" t="s">
        <v>193</v>
      </c>
      <c r="B157" s="6"/>
      <c r="C157" s="6"/>
      <c r="D157" s="19"/>
      <c r="E157" s="90"/>
      <c r="F157" s="91"/>
      <c r="G157" s="91"/>
      <c r="H157" s="91"/>
      <c r="I157" s="91"/>
      <c r="J157" s="91"/>
      <c r="K157" s="92"/>
      <c r="L157" s="93" t="s">
        <v>194</v>
      </c>
      <c r="M157" s="91"/>
      <c r="N157" s="91"/>
      <c r="O157" s="92"/>
      <c r="P157" s="6"/>
      <c r="Q157" s="6"/>
      <c r="R157" s="19"/>
      <c r="S157" s="90"/>
      <c r="T157" s="91"/>
      <c r="U157" s="91"/>
      <c r="V157" s="91"/>
      <c r="W157" s="91"/>
      <c r="X157" s="91"/>
      <c r="Y157" s="92"/>
      <c r="Z157" s="2"/>
    </row>
    <row r="158" spans="1:26" ht="14.25" customHeight="1" outlineLevel="1" x14ac:dyDescent="0.25">
      <c r="A158" s="5" t="s">
        <v>195</v>
      </c>
      <c r="B158" s="6"/>
      <c r="C158" s="6"/>
      <c r="D158" s="19"/>
      <c r="E158" s="90"/>
      <c r="F158" s="91"/>
      <c r="G158" s="91"/>
      <c r="H158" s="91"/>
      <c r="I158" s="91"/>
      <c r="J158" s="91"/>
      <c r="K158" s="92"/>
      <c r="L158" s="93" t="s">
        <v>196</v>
      </c>
      <c r="M158" s="91"/>
      <c r="N158" s="91"/>
      <c r="O158" s="92"/>
      <c r="P158" s="6"/>
      <c r="Q158" s="6"/>
      <c r="R158" s="19"/>
      <c r="S158" s="90"/>
      <c r="T158" s="91"/>
      <c r="U158" s="91"/>
      <c r="V158" s="91"/>
      <c r="W158" s="91"/>
      <c r="X158" s="91"/>
      <c r="Y158" s="92"/>
      <c r="Z158" s="2"/>
    </row>
    <row r="159" spans="1:26" ht="12.75" customHeight="1" outlineLevel="1" x14ac:dyDescent="0.25">
      <c r="A159" s="100" t="s">
        <v>48</v>
      </c>
      <c r="B159" s="102" t="s">
        <v>105</v>
      </c>
      <c r="C159" s="103"/>
      <c r="D159" s="104" t="s">
        <v>108</v>
      </c>
      <c r="E159" s="105" t="s">
        <v>11</v>
      </c>
      <c r="F159" s="106"/>
      <c r="G159" s="106"/>
      <c r="H159" s="106"/>
      <c r="I159" s="106"/>
      <c r="J159" s="106"/>
      <c r="K159" s="107"/>
      <c r="L159" s="111" t="s">
        <v>48</v>
      </c>
      <c r="M159" s="106"/>
      <c r="N159" s="106"/>
      <c r="O159" s="107"/>
      <c r="P159" s="102" t="s">
        <v>105</v>
      </c>
      <c r="Q159" s="103"/>
      <c r="R159" s="104" t="s">
        <v>108</v>
      </c>
      <c r="S159" s="105" t="s">
        <v>11</v>
      </c>
      <c r="T159" s="106"/>
      <c r="U159" s="106"/>
      <c r="V159" s="106"/>
      <c r="W159" s="106"/>
      <c r="X159" s="106"/>
      <c r="Y159" s="107"/>
      <c r="Z159" s="2"/>
    </row>
    <row r="160" spans="1:26" ht="17.25" customHeight="1" outlineLevel="1" x14ac:dyDescent="0.25">
      <c r="A160" s="101"/>
      <c r="B160" s="10" t="s">
        <v>106</v>
      </c>
      <c r="C160" s="10" t="s">
        <v>107</v>
      </c>
      <c r="D160" s="101"/>
      <c r="E160" s="108"/>
      <c r="F160" s="109"/>
      <c r="G160" s="109"/>
      <c r="H160" s="109"/>
      <c r="I160" s="109"/>
      <c r="J160" s="109"/>
      <c r="K160" s="110"/>
      <c r="L160" s="108"/>
      <c r="M160" s="109"/>
      <c r="N160" s="109"/>
      <c r="O160" s="110"/>
      <c r="P160" s="10" t="s">
        <v>106</v>
      </c>
      <c r="Q160" s="10" t="s">
        <v>107</v>
      </c>
      <c r="R160" s="101"/>
      <c r="S160" s="108"/>
      <c r="T160" s="109"/>
      <c r="U160" s="109"/>
      <c r="V160" s="109"/>
      <c r="W160" s="109"/>
      <c r="X160" s="109"/>
      <c r="Y160" s="110"/>
      <c r="Z160" s="2"/>
    </row>
    <row r="161" spans="1:26" ht="12.75" customHeight="1" outlineLevel="1" x14ac:dyDescent="0.25">
      <c r="A161" s="5" t="s">
        <v>197</v>
      </c>
      <c r="B161" s="6"/>
      <c r="C161" s="6"/>
      <c r="D161" s="19"/>
      <c r="E161" s="90"/>
      <c r="F161" s="91"/>
      <c r="G161" s="91"/>
      <c r="H161" s="91"/>
      <c r="I161" s="91"/>
      <c r="J161" s="91"/>
      <c r="K161" s="92"/>
      <c r="L161" s="93" t="s">
        <v>198</v>
      </c>
      <c r="M161" s="91"/>
      <c r="N161" s="91"/>
      <c r="O161" s="92"/>
      <c r="P161" s="6"/>
      <c r="Q161" s="6"/>
      <c r="R161" s="19"/>
      <c r="S161" s="90"/>
      <c r="T161" s="91"/>
      <c r="U161" s="91"/>
      <c r="V161" s="91"/>
      <c r="W161" s="91"/>
      <c r="X161" s="91"/>
      <c r="Y161" s="92"/>
      <c r="Z161" s="2"/>
    </row>
    <row r="162" spans="1:26" ht="12.75" customHeight="1" outlineLevel="1" x14ac:dyDescent="0.25">
      <c r="A162" s="5" t="s">
        <v>199</v>
      </c>
      <c r="B162" s="6"/>
      <c r="C162" s="6"/>
      <c r="D162" s="19"/>
      <c r="E162" s="90"/>
      <c r="F162" s="91"/>
      <c r="G162" s="91"/>
      <c r="H162" s="91"/>
      <c r="I162" s="91"/>
      <c r="J162" s="91"/>
      <c r="K162" s="92"/>
      <c r="L162" s="93" t="s">
        <v>200</v>
      </c>
      <c r="M162" s="91"/>
      <c r="N162" s="91"/>
      <c r="O162" s="92"/>
      <c r="P162" s="6"/>
      <c r="Q162" s="6"/>
      <c r="R162" s="19"/>
      <c r="S162" s="90"/>
      <c r="T162" s="91"/>
      <c r="U162" s="91"/>
      <c r="V162" s="91"/>
      <c r="W162" s="91"/>
      <c r="X162" s="91"/>
      <c r="Y162" s="92"/>
      <c r="Z162" s="2"/>
    </row>
    <row r="163" spans="1:26" ht="12.75" customHeight="1" outlineLevel="1" x14ac:dyDescent="0.25">
      <c r="A163" s="113" t="s">
        <v>201</v>
      </c>
      <c r="B163" s="114"/>
      <c r="C163" s="114"/>
      <c r="D163" s="114"/>
      <c r="E163" s="114"/>
      <c r="F163" s="114"/>
      <c r="G163" s="114"/>
      <c r="H163" s="114"/>
      <c r="I163" s="114"/>
      <c r="J163" s="114"/>
      <c r="K163" s="115"/>
      <c r="L163" s="113" t="s">
        <v>202</v>
      </c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5"/>
      <c r="Z163" s="2"/>
    </row>
    <row r="164" spans="1:26" ht="44.25" customHeight="1" outlineLevel="1" x14ac:dyDescent="0.25">
      <c r="A164" s="5" t="s">
        <v>203</v>
      </c>
      <c r="B164" s="6"/>
      <c r="C164" s="6"/>
      <c r="D164" s="19"/>
      <c r="E164" s="90"/>
      <c r="F164" s="91"/>
      <c r="G164" s="91"/>
      <c r="H164" s="91"/>
      <c r="I164" s="91"/>
      <c r="J164" s="91"/>
      <c r="K164" s="92"/>
      <c r="L164" s="93" t="s">
        <v>204</v>
      </c>
      <c r="M164" s="91"/>
      <c r="N164" s="91"/>
      <c r="O164" s="92"/>
      <c r="P164" s="6"/>
      <c r="Q164" s="6"/>
      <c r="R164" s="19"/>
      <c r="S164" s="90"/>
      <c r="T164" s="91"/>
      <c r="U164" s="91"/>
      <c r="V164" s="91"/>
      <c r="W164" s="91"/>
      <c r="X164" s="91"/>
      <c r="Y164" s="92"/>
      <c r="Z164" s="2"/>
    </row>
    <row r="165" spans="1:26" ht="48.75" customHeight="1" outlineLevel="1" x14ac:dyDescent="0.25">
      <c r="A165" s="5" t="s">
        <v>205</v>
      </c>
      <c r="B165" s="19"/>
      <c r="C165" s="19"/>
      <c r="D165" s="19"/>
      <c r="E165" s="90"/>
      <c r="F165" s="91"/>
      <c r="G165" s="91"/>
      <c r="H165" s="91"/>
      <c r="I165" s="91"/>
      <c r="J165" s="91"/>
      <c r="K165" s="92"/>
      <c r="L165" s="93" t="s">
        <v>206</v>
      </c>
      <c r="M165" s="91"/>
      <c r="N165" s="91"/>
      <c r="O165" s="92"/>
      <c r="P165" s="19"/>
      <c r="Q165" s="19"/>
      <c r="R165" s="19"/>
      <c r="S165" s="90"/>
      <c r="T165" s="91"/>
      <c r="U165" s="91"/>
      <c r="V165" s="91"/>
      <c r="W165" s="91"/>
      <c r="X165" s="91"/>
      <c r="Y165" s="92"/>
      <c r="Z165" s="2"/>
    </row>
    <row r="166" spans="1:26" ht="20.25" customHeight="1" outlineLevel="1" x14ac:dyDescent="0.25">
      <c r="A166" s="5" t="s">
        <v>207</v>
      </c>
      <c r="B166" s="6"/>
      <c r="C166" s="6"/>
      <c r="D166" s="19"/>
      <c r="E166" s="90"/>
      <c r="F166" s="91"/>
      <c r="G166" s="91"/>
      <c r="H166" s="91"/>
      <c r="I166" s="91"/>
      <c r="J166" s="91"/>
      <c r="K166" s="92"/>
      <c r="L166" s="93" t="s">
        <v>208</v>
      </c>
      <c r="M166" s="91"/>
      <c r="N166" s="91"/>
      <c r="O166" s="92"/>
      <c r="P166" s="6"/>
      <c r="Q166" s="6"/>
      <c r="R166" s="19"/>
      <c r="S166" s="90"/>
      <c r="T166" s="91"/>
      <c r="U166" s="91"/>
      <c r="V166" s="91"/>
      <c r="W166" s="91"/>
      <c r="X166" s="91"/>
      <c r="Y166" s="92"/>
      <c r="Z166" s="2"/>
    </row>
    <row r="167" spans="1:26" ht="20.25" customHeight="1" outlineLevel="1" x14ac:dyDescent="0.25">
      <c r="A167" s="5" t="s">
        <v>209</v>
      </c>
      <c r="B167" s="6"/>
      <c r="C167" s="6"/>
      <c r="D167" s="19"/>
      <c r="E167" s="90"/>
      <c r="F167" s="91"/>
      <c r="G167" s="91"/>
      <c r="H167" s="91"/>
      <c r="I167" s="91"/>
      <c r="J167" s="91"/>
      <c r="K167" s="92"/>
      <c r="L167" s="93" t="s">
        <v>209</v>
      </c>
      <c r="M167" s="91"/>
      <c r="N167" s="91"/>
      <c r="O167" s="92"/>
      <c r="P167" s="6"/>
      <c r="Q167" s="6"/>
      <c r="R167" s="19"/>
      <c r="S167" s="90"/>
      <c r="T167" s="91"/>
      <c r="U167" s="91"/>
      <c r="V167" s="91"/>
      <c r="W167" s="91"/>
      <c r="X167" s="91"/>
      <c r="Y167" s="92"/>
      <c r="Z167" s="2"/>
    </row>
    <row r="168" spans="1:26" ht="55.5" customHeight="1" outlineLevel="1" x14ac:dyDescent="0.25">
      <c r="A168" s="5" t="s">
        <v>210</v>
      </c>
      <c r="B168" s="6"/>
      <c r="C168" s="6"/>
      <c r="D168" s="19"/>
      <c r="E168" s="90"/>
      <c r="F168" s="91"/>
      <c r="G168" s="91"/>
      <c r="H168" s="91"/>
      <c r="I168" s="91"/>
      <c r="J168" s="91"/>
      <c r="K168" s="92"/>
      <c r="L168" s="93" t="s">
        <v>211</v>
      </c>
      <c r="M168" s="91"/>
      <c r="N168" s="91"/>
      <c r="O168" s="92"/>
      <c r="P168" s="6"/>
      <c r="Q168" s="6"/>
      <c r="R168" s="19"/>
      <c r="S168" s="90"/>
      <c r="T168" s="91"/>
      <c r="U168" s="91"/>
      <c r="V168" s="91"/>
      <c r="W168" s="91"/>
      <c r="X168" s="91"/>
      <c r="Y168" s="92"/>
      <c r="Z168" s="2"/>
    </row>
    <row r="169" spans="1:26" ht="45" customHeight="1" outlineLevel="1" x14ac:dyDescent="0.25">
      <c r="A169" s="5" t="s">
        <v>212</v>
      </c>
      <c r="B169" s="19"/>
      <c r="C169" s="19"/>
      <c r="D169" s="19"/>
      <c r="E169" s="90"/>
      <c r="F169" s="91"/>
      <c r="G169" s="91"/>
      <c r="H169" s="91"/>
      <c r="I169" s="91"/>
      <c r="J169" s="91"/>
      <c r="K169" s="92"/>
      <c r="L169" s="93" t="s">
        <v>213</v>
      </c>
      <c r="M169" s="91"/>
      <c r="N169" s="91"/>
      <c r="O169" s="92"/>
      <c r="P169" s="19"/>
      <c r="Q169" s="19"/>
      <c r="R169" s="19"/>
      <c r="S169" s="90"/>
      <c r="T169" s="91"/>
      <c r="U169" s="91"/>
      <c r="V169" s="91"/>
      <c r="W169" s="91"/>
      <c r="X169" s="91"/>
      <c r="Y169" s="92"/>
      <c r="Z169" s="2"/>
    </row>
    <row r="170" spans="1:26" ht="21" customHeight="1" outlineLevel="1" x14ac:dyDescent="0.25">
      <c r="A170" s="5" t="s">
        <v>214</v>
      </c>
      <c r="B170" s="6"/>
      <c r="C170" s="6"/>
      <c r="D170" s="19"/>
      <c r="E170" s="90"/>
      <c r="F170" s="91"/>
      <c r="G170" s="91"/>
      <c r="H170" s="91"/>
      <c r="I170" s="91"/>
      <c r="J170" s="91"/>
      <c r="K170" s="92"/>
      <c r="L170" s="93" t="s">
        <v>215</v>
      </c>
      <c r="M170" s="91"/>
      <c r="N170" s="91"/>
      <c r="O170" s="92"/>
      <c r="P170" s="6"/>
      <c r="Q170" s="6"/>
      <c r="R170" s="19"/>
      <c r="S170" s="90"/>
      <c r="T170" s="91"/>
      <c r="U170" s="91"/>
      <c r="V170" s="91"/>
      <c r="W170" s="91"/>
      <c r="X170" s="91"/>
      <c r="Y170" s="92"/>
      <c r="Z170" s="2"/>
    </row>
    <row r="171" spans="1:26" ht="21" customHeight="1" outlineLevel="1" x14ac:dyDescent="0.25">
      <c r="A171" s="5" t="s">
        <v>216</v>
      </c>
      <c r="B171" s="6"/>
      <c r="C171" s="6"/>
      <c r="D171" s="19"/>
      <c r="E171" s="90"/>
      <c r="F171" s="91"/>
      <c r="G171" s="91"/>
      <c r="H171" s="91"/>
      <c r="I171" s="91"/>
      <c r="J171" s="91"/>
      <c r="K171" s="92"/>
      <c r="L171" s="93" t="s">
        <v>216</v>
      </c>
      <c r="M171" s="91"/>
      <c r="N171" s="91"/>
      <c r="O171" s="92"/>
      <c r="P171" s="6"/>
      <c r="Q171" s="6"/>
      <c r="R171" s="19"/>
      <c r="S171" s="90"/>
      <c r="T171" s="91"/>
      <c r="U171" s="91"/>
      <c r="V171" s="91"/>
      <c r="W171" s="91"/>
      <c r="X171" s="91"/>
      <c r="Y171" s="92"/>
      <c r="Z171" s="2"/>
    </row>
    <row r="172" spans="1:26" ht="12.75" customHeight="1" outlineLevel="1" x14ac:dyDescent="0.25">
      <c r="A172" s="100" t="s">
        <v>48</v>
      </c>
      <c r="B172" s="102" t="s">
        <v>105</v>
      </c>
      <c r="C172" s="103"/>
      <c r="D172" s="104" t="s">
        <v>108</v>
      </c>
      <c r="E172" s="105" t="s">
        <v>11</v>
      </c>
      <c r="F172" s="106"/>
      <c r="G172" s="106"/>
      <c r="H172" s="106"/>
      <c r="I172" s="106"/>
      <c r="J172" s="106"/>
      <c r="K172" s="107"/>
      <c r="L172" s="111" t="s">
        <v>48</v>
      </c>
      <c r="M172" s="106"/>
      <c r="N172" s="106"/>
      <c r="O172" s="107"/>
      <c r="P172" s="102" t="s">
        <v>105</v>
      </c>
      <c r="Q172" s="103"/>
      <c r="R172" s="104" t="s">
        <v>108</v>
      </c>
      <c r="S172" s="105" t="s">
        <v>11</v>
      </c>
      <c r="T172" s="106"/>
      <c r="U172" s="106"/>
      <c r="V172" s="106"/>
      <c r="W172" s="106"/>
      <c r="X172" s="106"/>
      <c r="Y172" s="107"/>
      <c r="Z172" s="2"/>
    </row>
    <row r="173" spans="1:26" ht="13.5" customHeight="1" outlineLevel="1" x14ac:dyDescent="0.25">
      <c r="A173" s="101"/>
      <c r="B173" s="10" t="s">
        <v>106</v>
      </c>
      <c r="C173" s="10" t="s">
        <v>107</v>
      </c>
      <c r="D173" s="101"/>
      <c r="E173" s="108"/>
      <c r="F173" s="109"/>
      <c r="G173" s="109"/>
      <c r="H173" s="109"/>
      <c r="I173" s="109"/>
      <c r="J173" s="109"/>
      <c r="K173" s="110"/>
      <c r="L173" s="108"/>
      <c r="M173" s="109"/>
      <c r="N173" s="109"/>
      <c r="O173" s="110"/>
      <c r="P173" s="10" t="s">
        <v>106</v>
      </c>
      <c r="Q173" s="10" t="s">
        <v>107</v>
      </c>
      <c r="R173" s="101"/>
      <c r="S173" s="108"/>
      <c r="T173" s="109"/>
      <c r="U173" s="109"/>
      <c r="V173" s="109"/>
      <c r="W173" s="109"/>
      <c r="X173" s="109"/>
      <c r="Y173" s="110"/>
      <c r="Z173" s="2"/>
    </row>
    <row r="174" spans="1:26" ht="12.75" customHeight="1" outlineLevel="1" x14ac:dyDescent="0.25">
      <c r="A174" s="113" t="s">
        <v>217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5"/>
      <c r="L174" s="113" t="s">
        <v>218</v>
      </c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5"/>
      <c r="Z174" s="2"/>
    </row>
    <row r="175" spans="1:26" ht="55.5" customHeight="1" outlineLevel="1" x14ac:dyDescent="0.25">
      <c r="A175" s="5" t="s">
        <v>219</v>
      </c>
      <c r="B175" s="6"/>
      <c r="C175" s="6"/>
      <c r="D175" s="19"/>
      <c r="E175" s="90"/>
      <c r="F175" s="91"/>
      <c r="G175" s="91"/>
      <c r="H175" s="91"/>
      <c r="I175" s="91"/>
      <c r="J175" s="91"/>
      <c r="K175" s="92"/>
      <c r="L175" s="93" t="s">
        <v>220</v>
      </c>
      <c r="M175" s="91"/>
      <c r="N175" s="91"/>
      <c r="O175" s="92"/>
      <c r="P175" s="6"/>
      <c r="Q175" s="6"/>
      <c r="R175" s="19"/>
      <c r="S175" s="90"/>
      <c r="T175" s="91"/>
      <c r="U175" s="91"/>
      <c r="V175" s="91"/>
      <c r="W175" s="91"/>
      <c r="X175" s="91"/>
      <c r="Y175" s="92"/>
      <c r="Z175" s="2"/>
    </row>
    <row r="176" spans="1:26" ht="55.5" customHeight="1" outlineLevel="1" x14ac:dyDescent="0.25">
      <c r="A176" s="5" t="s">
        <v>221</v>
      </c>
      <c r="B176" s="6"/>
      <c r="C176" s="6"/>
      <c r="D176" s="19"/>
      <c r="E176" s="90"/>
      <c r="F176" s="91"/>
      <c r="G176" s="91"/>
      <c r="H176" s="91"/>
      <c r="I176" s="91"/>
      <c r="J176" s="91"/>
      <c r="K176" s="92"/>
      <c r="L176" s="93" t="s">
        <v>222</v>
      </c>
      <c r="M176" s="91"/>
      <c r="N176" s="91"/>
      <c r="O176" s="92"/>
      <c r="P176" s="6"/>
      <c r="Q176" s="6"/>
      <c r="R176" s="19"/>
      <c r="S176" s="90"/>
      <c r="T176" s="91"/>
      <c r="U176" s="91"/>
      <c r="V176" s="91"/>
      <c r="W176" s="91"/>
      <c r="X176" s="91"/>
      <c r="Y176" s="92"/>
      <c r="Z176" s="2"/>
    </row>
    <row r="177" spans="1:26" ht="55.5" customHeight="1" outlineLevel="1" x14ac:dyDescent="0.25">
      <c r="A177" s="5" t="s">
        <v>223</v>
      </c>
      <c r="B177" s="6"/>
      <c r="C177" s="6"/>
      <c r="D177" s="19"/>
      <c r="E177" s="90"/>
      <c r="F177" s="91"/>
      <c r="G177" s="91"/>
      <c r="H177" s="91"/>
      <c r="I177" s="91"/>
      <c r="J177" s="91"/>
      <c r="K177" s="92"/>
      <c r="L177" s="93" t="s">
        <v>224</v>
      </c>
      <c r="M177" s="91"/>
      <c r="N177" s="91"/>
      <c r="O177" s="92"/>
      <c r="P177" s="6"/>
      <c r="Q177" s="6"/>
      <c r="R177" s="19"/>
      <c r="S177" s="90"/>
      <c r="T177" s="91"/>
      <c r="U177" s="91"/>
      <c r="V177" s="91"/>
      <c r="W177" s="91"/>
      <c r="X177" s="91"/>
      <c r="Y177" s="92"/>
      <c r="Z177" s="2"/>
    </row>
    <row r="178" spans="1:26" ht="55.5" customHeight="1" outlineLevel="1" x14ac:dyDescent="0.25">
      <c r="A178" s="116"/>
      <c r="B178" s="91"/>
      <c r="C178" s="91"/>
      <c r="D178" s="91"/>
      <c r="E178" s="91"/>
      <c r="F178" s="91"/>
      <c r="G178" s="91"/>
      <c r="H178" s="91"/>
      <c r="I178" s="91"/>
      <c r="J178" s="91"/>
      <c r="K178" s="92"/>
      <c r="L178" s="93" t="s">
        <v>225</v>
      </c>
      <c r="M178" s="91"/>
      <c r="N178" s="91"/>
      <c r="O178" s="92"/>
      <c r="P178" s="6"/>
      <c r="Q178" s="6"/>
      <c r="R178" s="19"/>
      <c r="S178" s="90"/>
      <c r="T178" s="91"/>
      <c r="U178" s="91"/>
      <c r="V178" s="91"/>
      <c r="W178" s="91"/>
      <c r="X178" s="91"/>
      <c r="Y178" s="92"/>
      <c r="Z178" s="2"/>
    </row>
    <row r="179" spans="1:26" ht="12.75" customHeight="1" outlineLevel="1" x14ac:dyDescent="0.25">
      <c r="A179" s="100" t="s">
        <v>48</v>
      </c>
      <c r="B179" s="102" t="s">
        <v>105</v>
      </c>
      <c r="C179" s="103"/>
      <c r="D179" s="104" t="s">
        <v>108</v>
      </c>
      <c r="E179" s="105" t="s">
        <v>11</v>
      </c>
      <c r="F179" s="106"/>
      <c r="G179" s="106"/>
      <c r="H179" s="106"/>
      <c r="I179" s="106"/>
      <c r="J179" s="106"/>
      <c r="K179" s="107"/>
      <c r="L179" s="111" t="s">
        <v>48</v>
      </c>
      <c r="M179" s="106"/>
      <c r="N179" s="106"/>
      <c r="O179" s="107"/>
      <c r="P179" s="102" t="s">
        <v>105</v>
      </c>
      <c r="Q179" s="103"/>
      <c r="R179" s="104" t="s">
        <v>108</v>
      </c>
      <c r="S179" s="105" t="s">
        <v>11</v>
      </c>
      <c r="T179" s="106"/>
      <c r="U179" s="106"/>
      <c r="V179" s="106"/>
      <c r="W179" s="106"/>
      <c r="X179" s="106"/>
      <c r="Y179" s="107"/>
      <c r="Z179" s="2"/>
    </row>
    <row r="180" spans="1:26" ht="13.5" customHeight="1" outlineLevel="1" x14ac:dyDescent="0.25">
      <c r="A180" s="101"/>
      <c r="B180" s="10" t="s">
        <v>106</v>
      </c>
      <c r="C180" s="10" t="s">
        <v>107</v>
      </c>
      <c r="D180" s="101"/>
      <c r="E180" s="108"/>
      <c r="F180" s="109"/>
      <c r="G180" s="109"/>
      <c r="H180" s="109"/>
      <c r="I180" s="109"/>
      <c r="J180" s="109"/>
      <c r="K180" s="110"/>
      <c r="L180" s="108"/>
      <c r="M180" s="109"/>
      <c r="N180" s="109"/>
      <c r="O180" s="110"/>
      <c r="P180" s="10" t="s">
        <v>106</v>
      </c>
      <c r="Q180" s="10" t="s">
        <v>107</v>
      </c>
      <c r="R180" s="101"/>
      <c r="S180" s="108"/>
      <c r="T180" s="109"/>
      <c r="U180" s="109"/>
      <c r="V180" s="109"/>
      <c r="W180" s="109"/>
      <c r="X180" s="109"/>
      <c r="Y180" s="110"/>
      <c r="Z180" s="2"/>
    </row>
    <row r="181" spans="1:26" ht="12.75" customHeight="1" outlineLevel="1" x14ac:dyDescent="0.25">
      <c r="A181" s="112" t="s">
        <v>226</v>
      </c>
      <c r="B181" s="91"/>
      <c r="C181" s="91"/>
      <c r="D181" s="91"/>
      <c r="E181" s="91"/>
      <c r="F181" s="91"/>
      <c r="G181" s="91"/>
      <c r="H181" s="91"/>
      <c r="I181" s="91"/>
      <c r="J181" s="91"/>
      <c r="K181" s="92"/>
      <c r="L181" s="112" t="s">
        <v>227</v>
      </c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2"/>
      <c r="Z181" s="2"/>
    </row>
    <row r="182" spans="1:26" ht="57.75" customHeight="1" outlineLevel="1" x14ac:dyDescent="0.25">
      <c r="A182" s="5" t="s">
        <v>228</v>
      </c>
      <c r="B182" s="19"/>
      <c r="C182" s="19"/>
      <c r="D182" s="19"/>
      <c r="E182" s="90"/>
      <c r="F182" s="91"/>
      <c r="G182" s="91"/>
      <c r="H182" s="91"/>
      <c r="I182" s="91"/>
      <c r="J182" s="91"/>
      <c r="K182" s="92"/>
      <c r="L182" s="93" t="s">
        <v>229</v>
      </c>
      <c r="M182" s="91"/>
      <c r="N182" s="91"/>
      <c r="O182" s="92"/>
      <c r="P182" s="19"/>
      <c r="Q182" s="19"/>
      <c r="R182" s="19"/>
      <c r="S182" s="90"/>
      <c r="T182" s="91"/>
      <c r="U182" s="91"/>
      <c r="V182" s="91"/>
      <c r="W182" s="91"/>
      <c r="X182" s="91"/>
      <c r="Y182" s="92"/>
      <c r="Z182" s="2"/>
    </row>
    <row r="183" spans="1:26" ht="21.75" customHeight="1" outlineLevel="1" x14ac:dyDescent="0.25">
      <c r="A183" s="5" t="s">
        <v>230</v>
      </c>
      <c r="B183" s="19"/>
      <c r="C183" s="6"/>
      <c r="D183" s="19"/>
      <c r="E183" s="90"/>
      <c r="F183" s="91"/>
      <c r="G183" s="91"/>
      <c r="H183" s="91"/>
      <c r="I183" s="91"/>
      <c r="J183" s="91"/>
      <c r="K183" s="92"/>
      <c r="L183" s="93" t="s">
        <v>231</v>
      </c>
      <c r="M183" s="91"/>
      <c r="N183" s="91"/>
      <c r="O183" s="92"/>
      <c r="P183" s="19"/>
      <c r="Q183" s="6"/>
      <c r="R183" s="7"/>
      <c r="S183" s="90"/>
      <c r="T183" s="91"/>
      <c r="U183" s="91"/>
      <c r="V183" s="91"/>
      <c r="W183" s="91"/>
      <c r="X183" s="91"/>
      <c r="Y183" s="92"/>
      <c r="Z183" s="2"/>
    </row>
    <row r="184" spans="1:26" ht="21.75" customHeight="1" outlineLevel="1" x14ac:dyDescent="0.25">
      <c r="A184" s="5" t="s">
        <v>232</v>
      </c>
      <c r="B184" s="19"/>
      <c r="C184" s="6"/>
      <c r="D184" s="19"/>
      <c r="E184" s="90"/>
      <c r="F184" s="91"/>
      <c r="G184" s="91"/>
      <c r="H184" s="91"/>
      <c r="I184" s="91"/>
      <c r="J184" s="91"/>
      <c r="K184" s="92"/>
      <c r="L184" s="93" t="s">
        <v>233</v>
      </c>
      <c r="M184" s="91"/>
      <c r="N184" s="91"/>
      <c r="O184" s="92"/>
      <c r="P184" s="19"/>
      <c r="Q184" s="6"/>
      <c r="R184" s="7"/>
      <c r="S184" s="90"/>
      <c r="T184" s="91"/>
      <c r="U184" s="91"/>
      <c r="V184" s="91"/>
      <c r="W184" s="91"/>
      <c r="X184" s="91"/>
      <c r="Y184" s="92"/>
      <c r="Z184" s="2"/>
    </row>
    <row r="185" spans="1:26" ht="58.5" customHeight="1" outlineLevel="1" x14ac:dyDescent="0.25">
      <c r="A185" s="5" t="s">
        <v>234</v>
      </c>
      <c r="B185" s="19"/>
      <c r="C185" s="6"/>
      <c r="D185" s="19"/>
      <c r="E185" s="90"/>
      <c r="F185" s="91"/>
      <c r="G185" s="91"/>
      <c r="H185" s="91"/>
      <c r="I185" s="91"/>
      <c r="J185" s="91"/>
      <c r="K185" s="92"/>
      <c r="L185" s="93" t="s">
        <v>235</v>
      </c>
      <c r="M185" s="91"/>
      <c r="N185" s="91"/>
      <c r="O185" s="92"/>
      <c r="P185" s="19"/>
      <c r="Q185" s="19"/>
      <c r="R185" s="7"/>
      <c r="S185" s="90"/>
      <c r="T185" s="91"/>
      <c r="U185" s="91"/>
      <c r="V185" s="91"/>
      <c r="W185" s="91"/>
      <c r="X185" s="91"/>
      <c r="Y185" s="92"/>
      <c r="Z185" s="2"/>
    </row>
    <row r="186" spans="1:26" ht="21" customHeight="1" outlineLevel="1" x14ac:dyDescent="0.25">
      <c r="A186" s="5" t="s">
        <v>236</v>
      </c>
      <c r="B186" s="19"/>
      <c r="C186" s="6"/>
      <c r="D186" s="19"/>
      <c r="E186" s="90"/>
      <c r="F186" s="91"/>
      <c r="G186" s="91"/>
      <c r="H186" s="91"/>
      <c r="I186" s="91"/>
      <c r="J186" s="91"/>
      <c r="K186" s="92"/>
      <c r="L186" s="93" t="s">
        <v>237</v>
      </c>
      <c r="M186" s="91"/>
      <c r="N186" s="91"/>
      <c r="O186" s="92"/>
      <c r="P186" s="19"/>
      <c r="Q186" s="6"/>
      <c r="R186" s="7"/>
      <c r="S186" s="90"/>
      <c r="T186" s="91"/>
      <c r="U186" s="91"/>
      <c r="V186" s="91"/>
      <c r="W186" s="91"/>
      <c r="X186" s="91"/>
      <c r="Y186" s="92"/>
      <c r="Z186" s="2"/>
    </row>
    <row r="187" spans="1:26" ht="46.5" customHeight="1" outlineLevel="1" x14ac:dyDescent="0.25">
      <c r="A187" s="5" t="s">
        <v>238</v>
      </c>
      <c r="B187" s="19"/>
      <c r="C187" s="6"/>
      <c r="D187" s="19"/>
      <c r="E187" s="90"/>
      <c r="F187" s="91"/>
      <c r="G187" s="91"/>
      <c r="H187" s="91"/>
      <c r="I187" s="91"/>
      <c r="J187" s="91"/>
      <c r="K187" s="92"/>
      <c r="L187" s="93" t="s">
        <v>239</v>
      </c>
      <c r="M187" s="91"/>
      <c r="N187" s="91"/>
      <c r="O187" s="92"/>
      <c r="P187" s="19"/>
      <c r="Q187" s="6"/>
      <c r="R187" s="19"/>
      <c r="S187" s="90"/>
      <c r="T187" s="91"/>
      <c r="U187" s="91"/>
      <c r="V187" s="91"/>
      <c r="W187" s="91"/>
      <c r="X187" s="91"/>
      <c r="Y187" s="92"/>
      <c r="Z187" s="2"/>
    </row>
    <row r="188" spans="1:26" ht="12.75" customHeight="1" outlineLevel="1" x14ac:dyDescent="0.25">
      <c r="A188" s="100" t="s">
        <v>48</v>
      </c>
      <c r="B188" s="102" t="s">
        <v>105</v>
      </c>
      <c r="C188" s="103"/>
      <c r="D188" s="104" t="s">
        <v>108</v>
      </c>
      <c r="E188" s="105" t="s">
        <v>11</v>
      </c>
      <c r="F188" s="106"/>
      <c r="G188" s="106"/>
      <c r="H188" s="106"/>
      <c r="I188" s="106"/>
      <c r="J188" s="106"/>
      <c r="K188" s="107"/>
      <c r="L188" s="111" t="s">
        <v>48</v>
      </c>
      <c r="M188" s="106"/>
      <c r="N188" s="106"/>
      <c r="O188" s="107"/>
      <c r="P188" s="102" t="s">
        <v>105</v>
      </c>
      <c r="Q188" s="103"/>
      <c r="R188" s="104" t="s">
        <v>108</v>
      </c>
      <c r="S188" s="105" t="s">
        <v>11</v>
      </c>
      <c r="T188" s="106"/>
      <c r="U188" s="106"/>
      <c r="V188" s="106"/>
      <c r="W188" s="106"/>
      <c r="X188" s="106"/>
      <c r="Y188" s="107"/>
      <c r="Z188" s="2"/>
    </row>
    <row r="189" spans="1:26" ht="12.75" customHeight="1" outlineLevel="1" x14ac:dyDescent="0.25">
      <c r="A189" s="101"/>
      <c r="B189" s="10" t="s">
        <v>106</v>
      </c>
      <c r="C189" s="10" t="s">
        <v>107</v>
      </c>
      <c r="D189" s="101"/>
      <c r="E189" s="108"/>
      <c r="F189" s="109"/>
      <c r="G189" s="109"/>
      <c r="H189" s="109"/>
      <c r="I189" s="109"/>
      <c r="J189" s="109"/>
      <c r="K189" s="110"/>
      <c r="L189" s="108"/>
      <c r="M189" s="109"/>
      <c r="N189" s="109"/>
      <c r="O189" s="110"/>
      <c r="P189" s="10" t="s">
        <v>106</v>
      </c>
      <c r="Q189" s="10" t="s">
        <v>107</v>
      </c>
      <c r="R189" s="101"/>
      <c r="S189" s="108"/>
      <c r="T189" s="109"/>
      <c r="U189" s="109"/>
      <c r="V189" s="109"/>
      <c r="W189" s="109"/>
      <c r="X189" s="109"/>
      <c r="Y189" s="110"/>
      <c r="Z189" s="2"/>
    </row>
    <row r="190" spans="1:26" ht="60.75" customHeight="1" outlineLevel="1" x14ac:dyDescent="0.25">
      <c r="A190" s="5" t="s">
        <v>240</v>
      </c>
      <c r="B190" s="19"/>
      <c r="C190" s="19"/>
      <c r="D190" s="19"/>
      <c r="E190" s="90"/>
      <c r="F190" s="91"/>
      <c r="G190" s="91"/>
      <c r="H190" s="91"/>
      <c r="I190" s="91"/>
      <c r="J190" s="91"/>
      <c r="K190" s="92"/>
      <c r="L190" s="93" t="s">
        <v>241</v>
      </c>
      <c r="M190" s="91"/>
      <c r="N190" s="91"/>
      <c r="O190" s="92"/>
      <c r="P190" s="19"/>
      <c r="Q190" s="6"/>
      <c r="R190" s="19"/>
      <c r="S190" s="90"/>
      <c r="T190" s="91"/>
      <c r="U190" s="91"/>
      <c r="V190" s="91"/>
      <c r="W190" s="91"/>
      <c r="X190" s="91"/>
      <c r="Y190" s="92"/>
      <c r="Z190" s="2"/>
    </row>
    <row r="191" spans="1:26" ht="42.75" customHeight="1" outlineLevel="1" x14ac:dyDescent="0.25">
      <c r="A191" s="6" t="s">
        <v>242</v>
      </c>
      <c r="B191" s="19"/>
      <c r="C191" s="6"/>
      <c r="D191" s="19"/>
      <c r="E191" s="90"/>
      <c r="F191" s="91"/>
      <c r="G191" s="91"/>
      <c r="H191" s="91"/>
      <c r="I191" s="91"/>
      <c r="J191" s="91"/>
      <c r="K191" s="92"/>
      <c r="L191" s="93" t="s">
        <v>243</v>
      </c>
      <c r="M191" s="91"/>
      <c r="N191" s="91"/>
      <c r="O191" s="92"/>
      <c r="P191" s="19"/>
      <c r="Q191" s="19"/>
      <c r="R191" s="19"/>
      <c r="S191" s="90"/>
      <c r="T191" s="91"/>
      <c r="U191" s="91"/>
      <c r="V191" s="91"/>
      <c r="W191" s="91"/>
      <c r="X191" s="91"/>
      <c r="Y191" s="92"/>
      <c r="Z191" s="2"/>
    </row>
    <row r="192" spans="1:26" ht="23.25" customHeight="1" outlineLevel="1" x14ac:dyDescent="0.25">
      <c r="A192" s="6" t="s">
        <v>244</v>
      </c>
      <c r="B192" s="19"/>
      <c r="C192" s="6"/>
      <c r="D192" s="19"/>
      <c r="E192" s="90"/>
      <c r="F192" s="91"/>
      <c r="G192" s="91"/>
      <c r="H192" s="91"/>
      <c r="I192" s="91"/>
      <c r="J192" s="91"/>
      <c r="K192" s="92"/>
      <c r="L192" s="90" t="s">
        <v>245</v>
      </c>
      <c r="M192" s="91"/>
      <c r="N192" s="91"/>
      <c r="O192" s="92"/>
      <c r="P192" s="19"/>
      <c r="Q192" s="6"/>
      <c r="R192" s="19"/>
      <c r="S192" s="90"/>
      <c r="T192" s="91"/>
      <c r="U192" s="91"/>
      <c r="V192" s="91"/>
      <c r="W192" s="91"/>
      <c r="X192" s="91"/>
      <c r="Y192" s="92"/>
      <c r="Z192" s="2"/>
    </row>
    <row r="193" spans="1:26" ht="43.5" customHeight="1" outlineLevel="1" x14ac:dyDescent="0.25">
      <c r="A193" s="5" t="s">
        <v>246</v>
      </c>
      <c r="B193" s="19"/>
      <c r="C193" s="6"/>
      <c r="D193" s="19"/>
      <c r="E193" s="90"/>
      <c r="F193" s="91"/>
      <c r="G193" s="91"/>
      <c r="H193" s="91"/>
      <c r="I193" s="91"/>
      <c r="J193" s="91"/>
      <c r="K193" s="92"/>
      <c r="L193" s="90" t="s">
        <v>247</v>
      </c>
      <c r="M193" s="91"/>
      <c r="N193" s="91"/>
      <c r="O193" s="92"/>
      <c r="P193" s="19"/>
      <c r="Q193" s="6"/>
      <c r="R193" s="19"/>
      <c r="S193" s="90"/>
      <c r="T193" s="91"/>
      <c r="U193" s="91"/>
      <c r="V193" s="91"/>
      <c r="W193" s="91"/>
      <c r="X193" s="91"/>
      <c r="Y193" s="92"/>
      <c r="Z193" s="2"/>
    </row>
    <row r="194" spans="1:26" ht="54.75" customHeight="1" outlineLevel="1" x14ac:dyDescent="0.25">
      <c r="A194" s="5" t="s">
        <v>248</v>
      </c>
      <c r="B194" s="19"/>
      <c r="C194" s="19"/>
      <c r="D194" s="19"/>
      <c r="E194" s="90"/>
      <c r="F194" s="91"/>
      <c r="G194" s="91"/>
      <c r="H194" s="91"/>
      <c r="I194" s="91"/>
      <c r="J194" s="91"/>
      <c r="K194" s="92"/>
      <c r="L194" s="93" t="s">
        <v>249</v>
      </c>
      <c r="M194" s="91"/>
      <c r="N194" s="91"/>
      <c r="O194" s="92"/>
      <c r="P194" s="19"/>
      <c r="Q194" s="19"/>
      <c r="R194" s="19"/>
      <c r="S194" s="90"/>
      <c r="T194" s="91"/>
      <c r="U194" s="91"/>
      <c r="V194" s="91"/>
      <c r="W194" s="91"/>
      <c r="X194" s="91"/>
      <c r="Y194" s="92"/>
      <c r="Z194" s="2"/>
    </row>
    <row r="195" spans="1:26" ht="22.5" customHeight="1" outlineLevel="1" x14ac:dyDescent="0.25">
      <c r="A195" s="5" t="s">
        <v>250</v>
      </c>
      <c r="B195" s="19"/>
      <c r="C195" s="6"/>
      <c r="D195" s="19"/>
      <c r="E195" s="90"/>
      <c r="F195" s="91"/>
      <c r="G195" s="91"/>
      <c r="H195" s="91"/>
      <c r="I195" s="91"/>
      <c r="J195" s="91"/>
      <c r="K195" s="92"/>
      <c r="L195" s="90" t="s">
        <v>251</v>
      </c>
      <c r="M195" s="91"/>
      <c r="N195" s="91"/>
      <c r="O195" s="92"/>
      <c r="P195" s="19"/>
      <c r="Q195" s="6"/>
      <c r="R195" s="19"/>
      <c r="S195" s="90"/>
      <c r="T195" s="91"/>
      <c r="U195" s="91"/>
      <c r="V195" s="91"/>
      <c r="W195" s="91"/>
      <c r="X195" s="91"/>
      <c r="Y195" s="92"/>
      <c r="Z195" s="2"/>
    </row>
    <row r="196" spans="1:26" ht="22.5" customHeight="1" outlineLevel="1" x14ac:dyDescent="0.25">
      <c r="A196" s="5" t="s">
        <v>252</v>
      </c>
      <c r="B196" s="19"/>
      <c r="C196" s="6"/>
      <c r="D196" s="19"/>
      <c r="E196" s="90"/>
      <c r="F196" s="91"/>
      <c r="G196" s="91"/>
      <c r="H196" s="91"/>
      <c r="I196" s="91"/>
      <c r="J196" s="91"/>
      <c r="K196" s="92"/>
      <c r="L196" s="90" t="s">
        <v>253</v>
      </c>
      <c r="M196" s="91"/>
      <c r="N196" s="91"/>
      <c r="O196" s="92"/>
      <c r="P196" s="19"/>
      <c r="Q196" s="6"/>
      <c r="R196" s="19"/>
      <c r="S196" s="90"/>
      <c r="T196" s="91"/>
      <c r="U196" s="91"/>
      <c r="V196" s="91"/>
      <c r="W196" s="91"/>
      <c r="X196" s="91"/>
      <c r="Y196" s="92"/>
      <c r="Z196" s="2"/>
    </row>
    <row r="197" spans="1:26" ht="75" customHeight="1" outlineLevel="1" x14ac:dyDescent="0.25">
      <c r="A197" s="94"/>
      <c r="B197" s="95"/>
      <c r="C197" s="95"/>
      <c r="D197" s="95"/>
      <c r="E197" s="95"/>
      <c r="F197" s="95"/>
      <c r="G197" s="95"/>
      <c r="H197" s="95"/>
      <c r="I197" s="95"/>
      <c r="J197" s="95"/>
      <c r="K197" s="96"/>
      <c r="L197" s="97" t="s">
        <v>254</v>
      </c>
      <c r="M197" s="98"/>
      <c r="N197" s="98"/>
      <c r="O197" s="99"/>
      <c r="P197" s="19"/>
      <c r="Q197" s="15"/>
      <c r="R197" s="19"/>
      <c r="S197" s="90"/>
      <c r="T197" s="91"/>
      <c r="U197" s="91"/>
      <c r="V197" s="91"/>
      <c r="W197" s="91"/>
      <c r="X197" s="91"/>
      <c r="Y197" s="92"/>
      <c r="Z197" s="2"/>
    </row>
    <row r="198" spans="1:26" ht="12.75" customHeight="1" outlineLevel="1" x14ac:dyDescent="0.25">
      <c r="A198" s="100" t="s">
        <v>48</v>
      </c>
      <c r="B198" s="102" t="s">
        <v>255</v>
      </c>
      <c r="C198" s="126"/>
      <c r="D198" s="126"/>
      <c r="E198" s="126"/>
      <c r="F198" s="126"/>
      <c r="G198" s="126"/>
      <c r="H198" s="126"/>
      <c r="I198" s="103"/>
      <c r="J198" s="105" t="s">
        <v>108</v>
      </c>
      <c r="K198" s="107"/>
      <c r="L198" s="105" t="s">
        <v>11</v>
      </c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7"/>
      <c r="Z198" s="2"/>
    </row>
    <row r="199" spans="1:26" ht="12.75" customHeight="1" outlineLevel="1" x14ac:dyDescent="0.25">
      <c r="A199" s="206"/>
      <c r="B199" s="102" t="s">
        <v>256</v>
      </c>
      <c r="C199" s="103"/>
      <c r="D199" s="209">
        <v>45949</v>
      </c>
      <c r="E199" s="103"/>
      <c r="F199" s="102" t="s">
        <v>257</v>
      </c>
      <c r="G199" s="103"/>
      <c r="H199" s="102" t="s">
        <v>258</v>
      </c>
      <c r="I199" s="103"/>
      <c r="J199" s="207"/>
      <c r="K199" s="208"/>
      <c r="L199" s="20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208"/>
      <c r="Z199" s="2"/>
    </row>
    <row r="200" spans="1:26" ht="12.75" customHeight="1" outlineLevel="1" x14ac:dyDescent="0.25">
      <c r="A200" s="101"/>
      <c r="B200" s="10" t="s">
        <v>106</v>
      </c>
      <c r="C200" s="10" t="s">
        <v>107</v>
      </c>
      <c r="D200" s="10" t="s">
        <v>106</v>
      </c>
      <c r="E200" s="10" t="s">
        <v>107</v>
      </c>
      <c r="F200" s="10" t="s">
        <v>106</v>
      </c>
      <c r="G200" s="10" t="s">
        <v>107</v>
      </c>
      <c r="H200" s="10" t="s">
        <v>106</v>
      </c>
      <c r="I200" s="10" t="s">
        <v>107</v>
      </c>
      <c r="J200" s="108"/>
      <c r="K200" s="110"/>
      <c r="L200" s="108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10"/>
      <c r="Z200" s="2"/>
    </row>
    <row r="201" spans="1:26" ht="17.25" customHeight="1" outlineLevel="1" x14ac:dyDescent="0.25">
      <c r="A201" s="194" t="s">
        <v>259</v>
      </c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6"/>
      <c r="Z201" s="2"/>
    </row>
    <row r="202" spans="1:26" ht="66" customHeight="1" outlineLevel="1" x14ac:dyDescent="0.25">
      <c r="A202" s="5" t="s">
        <v>260</v>
      </c>
      <c r="B202" s="6"/>
      <c r="C202" s="6"/>
      <c r="D202" s="6"/>
      <c r="E202" s="6"/>
      <c r="F202" s="6"/>
      <c r="G202" s="6"/>
      <c r="H202" s="6"/>
      <c r="I202" s="6"/>
      <c r="J202" s="212"/>
      <c r="K202" s="92"/>
      <c r="L202" s="90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2"/>
      <c r="Z202" s="2"/>
    </row>
    <row r="203" spans="1:26" ht="12.75" customHeight="1" x14ac:dyDescent="0.25">
      <c r="A203" s="102" t="s">
        <v>261</v>
      </c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03"/>
      <c r="Z203" s="2"/>
    </row>
    <row r="204" spans="1:26" ht="12.75" customHeight="1" outlineLevel="1" x14ac:dyDescent="0.25">
      <c r="A204" s="100" t="s">
        <v>48</v>
      </c>
      <c r="B204" s="105" t="s">
        <v>108</v>
      </c>
      <c r="C204" s="107"/>
      <c r="D204" s="105" t="s">
        <v>11</v>
      </c>
      <c r="E204" s="106"/>
      <c r="F204" s="106"/>
      <c r="G204" s="106"/>
      <c r="H204" s="106"/>
      <c r="I204" s="106"/>
      <c r="J204" s="106"/>
      <c r="K204" s="107"/>
      <c r="L204" s="111" t="s">
        <v>48</v>
      </c>
      <c r="M204" s="106"/>
      <c r="N204" s="106"/>
      <c r="O204" s="107"/>
      <c r="P204" s="105" t="s">
        <v>108</v>
      </c>
      <c r="Q204" s="107"/>
      <c r="R204" s="105" t="s">
        <v>11</v>
      </c>
      <c r="S204" s="106"/>
      <c r="T204" s="106"/>
      <c r="U204" s="106"/>
      <c r="V204" s="106"/>
      <c r="W204" s="106"/>
      <c r="X204" s="106"/>
      <c r="Y204" s="107"/>
      <c r="Z204" s="2"/>
    </row>
    <row r="205" spans="1:26" ht="12.75" customHeight="1" outlineLevel="1" x14ac:dyDescent="0.25">
      <c r="A205" s="101"/>
      <c r="B205" s="108"/>
      <c r="C205" s="110"/>
      <c r="D205" s="108"/>
      <c r="E205" s="109"/>
      <c r="F205" s="109"/>
      <c r="G205" s="109"/>
      <c r="H205" s="109"/>
      <c r="I205" s="109"/>
      <c r="J205" s="109"/>
      <c r="K205" s="110"/>
      <c r="L205" s="108"/>
      <c r="M205" s="109"/>
      <c r="N205" s="109"/>
      <c r="O205" s="110"/>
      <c r="P205" s="108"/>
      <c r="Q205" s="110"/>
      <c r="R205" s="108"/>
      <c r="S205" s="109"/>
      <c r="T205" s="109"/>
      <c r="U205" s="109"/>
      <c r="V205" s="109"/>
      <c r="W205" s="109"/>
      <c r="X205" s="109"/>
      <c r="Y205" s="110"/>
      <c r="Z205" s="2"/>
    </row>
    <row r="206" spans="1:26" ht="12.75" customHeight="1" outlineLevel="1" x14ac:dyDescent="0.25">
      <c r="A206" s="194" t="s">
        <v>262</v>
      </c>
      <c r="B206" s="95"/>
      <c r="C206" s="95"/>
      <c r="D206" s="95"/>
      <c r="E206" s="95"/>
      <c r="F206" s="95"/>
      <c r="G206" s="95"/>
      <c r="H206" s="95"/>
      <c r="I206" s="95"/>
      <c r="J206" s="95"/>
      <c r="K206" s="195"/>
      <c r="L206" s="194" t="s">
        <v>263</v>
      </c>
      <c r="M206" s="95"/>
      <c r="N206" s="95"/>
      <c r="O206" s="95"/>
      <c r="P206" s="95"/>
      <c r="Q206" s="95"/>
      <c r="R206" s="95"/>
      <c r="S206" s="95"/>
      <c r="T206" s="95"/>
      <c r="U206" s="95"/>
      <c r="V206" s="195"/>
      <c r="W206" s="29"/>
      <c r="X206" s="29"/>
      <c r="Y206" s="30"/>
      <c r="Z206" s="2"/>
    </row>
    <row r="207" spans="1:26" ht="48.75" customHeight="1" outlineLevel="1" x14ac:dyDescent="0.25">
      <c r="A207" s="5" t="s">
        <v>264</v>
      </c>
      <c r="B207" s="210"/>
      <c r="C207" s="92"/>
      <c r="D207" s="215"/>
      <c r="E207" s="98"/>
      <c r="F207" s="98"/>
      <c r="G207" s="98"/>
      <c r="H207" s="98"/>
      <c r="I207" s="98"/>
      <c r="J207" s="98"/>
      <c r="K207" s="99"/>
      <c r="L207" s="93" t="s">
        <v>265</v>
      </c>
      <c r="M207" s="91"/>
      <c r="N207" s="91"/>
      <c r="O207" s="92"/>
      <c r="P207" s="210"/>
      <c r="Q207" s="92"/>
      <c r="R207" s="175"/>
      <c r="S207" s="98"/>
      <c r="T207" s="98"/>
      <c r="U207" s="98"/>
      <c r="V207" s="98"/>
      <c r="W207" s="98"/>
      <c r="X207" s="98"/>
      <c r="Y207" s="99"/>
      <c r="Z207" s="2"/>
    </row>
    <row r="208" spans="1:26" ht="48.75" customHeight="1" outlineLevel="1" x14ac:dyDescent="0.25">
      <c r="A208" s="5" t="s">
        <v>266</v>
      </c>
      <c r="B208" s="201"/>
      <c r="C208" s="92"/>
      <c r="D208" s="213"/>
      <c r="E208" s="137"/>
      <c r="F208" s="137"/>
      <c r="G208" s="137"/>
      <c r="H208" s="137"/>
      <c r="I208" s="137"/>
      <c r="J208" s="137"/>
      <c r="K208" s="138"/>
      <c r="L208" s="93" t="s">
        <v>267</v>
      </c>
      <c r="M208" s="91"/>
      <c r="N208" s="91"/>
      <c r="O208" s="92"/>
      <c r="P208" s="201"/>
      <c r="Q208" s="92"/>
      <c r="R208" s="213"/>
      <c r="S208" s="137"/>
      <c r="T208" s="137"/>
      <c r="U208" s="137"/>
      <c r="V208" s="137"/>
      <c r="W208" s="137"/>
      <c r="X208" s="137"/>
      <c r="Y208" s="138"/>
      <c r="Z208" s="2"/>
    </row>
    <row r="209" spans="1:26" ht="48.75" customHeight="1" outlineLevel="1" x14ac:dyDescent="0.25">
      <c r="A209" s="5" t="s">
        <v>268</v>
      </c>
      <c r="B209" s="201"/>
      <c r="C209" s="92"/>
      <c r="D209" s="213"/>
      <c r="E209" s="137"/>
      <c r="F209" s="137"/>
      <c r="G209" s="137"/>
      <c r="H209" s="137"/>
      <c r="I209" s="137"/>
      <c r="J209" s="137"/>
      <c r="K209" s="138"/>
      <c r="L209" s="93" t="s">
        <v>269</v>
      </c>
      <c r="M209" s="91"/>
      <c r="N209" s="91"/>
      <c r="O209" s="92"/>
      <c r="P209" s="201"/>
      <c r="Q209" s="92"/>
      <c r="R209" s="213"/>
      <c r="S209" s="137"/>
      <c r="T209" s="137"/>
      <c r="U209" s="137"/>
      <c r="V209" s="137"/>
      <c r="W209" s="137"/>
      <c r="X209" s="137"/>
      <c r="Y209" s="138"/>
      <c r="Z209" s="2"/>
    </row>
    <row r="210" spans="1:26" ht="48.75" customHeight="1" outlineLevel="1" x14ac:dyDescent="0.25">
      <c r="A210" s="5" t="s">
        <v>270</v>
      </c>
      <c r="B210" s="201"/>
      <c r="C210" s="92"/>
      <c r="D210" s="214"/>
      <c r="E210" s="140"/>
      <c r="F210" s="140"/>
      <c r="G210" s="140"/>
      <c r="H210" s="140"/>
      <c r="I210" s="140"/>
      <c r="J210" s="140"/>
      <c r="K210" s="141"/>
      <c r="L210" s="93" t="s">
        <v>271</v>
      </c>
      <c r="M210" s="91"/>
      <c r="N210" s="91"/>
      <c r="O210" s="92"/>
      <c r="P210" s="201"/>
      <c r="Q210" s="92"/>
      <c r="R210" s="214"/>
      <c r="S210" s="140"/>
      <c r="T210" s="140"/>
      <c r="U210" s="140"/>
      <c r="V210" s="140"/>
      <c r="W210" s="140"/>
      <c r="X210" s="140"/>
      <c r="Y210" s="141"/>
      <c r="Z210" s="2"/>
    </row>
    <row r="211" spans="1:26" ht="48.75" customHeight="1" outlineLevel="1" x14ac:dyDescent="0.25">
      <c r="A211" s="5" t="s">
        <v>272</v>
      </c>
      <c r="B211" s="201"/>
      <c r="C211" s="92"/>
      <c r="D211" s="211"/>
      <c r="E211" s="91"/>
      <c r="F211" s="91"/>
      <c r="G211" s="91"/>
      <c r="H211" s="91"/>
      <c r="I211" s="91"/>
      <c r="J211" s="91"/>
      <c r="K211" s="92"/>
      <c r="L211" s="93" t="s">
        <v>273</v>
      </c>
      <c r="M211" s="91"/>
      <c r="N211" s="91"/>
      <c r="O211" s="92"/>
      <c r="P211" s="201"/>
      <c r="Q211" s="92"/>
      <c r="R211" s="90"/>
      <c r="S211" s="91"/>
      <c r="T211" s="91"/>
      <c r="U211" s="91"/>
      <c r="V211" s="91"/>
      <c r="W211" s="91"/>
      <c r="X211" s="91"/>
      <c r="Y211" s="92"/>
      <c r="Z211" s="2"/>
    </row>
    <row r="212" spans="1:26" ht="12.75" customHeight="1" x14ac:dyDescent="0.25">
      <c r="A212" s="102" t="s">
        <v>274</v>
      </c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03"/>
      <c r="Z212" s="2"/>
    </row>
    <row r="213" spans="1:26" ht="12.75" customHeight="1" outlineLevel="1" x14ac:dyDescent="0.25">
      <c r="A213" s="100" t="s">
        <v>48</v>
      </c>
      <c r="B213" s="102" t="s">
        <v>105</v>
      </c>
      <c r="C213" s="126"/>
      <c r="D213" s="103"/>
      <c r="E213" s="105" t="s">
        <v>11</v>
      </c>
      <c r="F213" s="106"/>
      <c r="G213" s="106"/>
      <c r="H213" s="106"/>
      <c r="I213" s="106"/>
      <c r="J213" s="106"/>
      <c r="K213" s="107"/>
      <c r="L213" s="111" t="s">
        <v>48</v>
      </c>
      <c r="M213" s="106"/>
      <c r="N213" s="106"/>
      <c r="O213" s="106"/>
      <c r="P213" s="107"/>
      <c r="Q213" s="102" t="s">
        <v>105</v>
      </c>
      <c r="R213" s="126"/>
      <c r="S213" s="103"/>
      <c r="T213" s="105" t="s">
        <v>11</v>
      </c>
      <c r="U213" s="106"/>
      <c r="V213" s="106"/>
      <c r="W213" s="106"/>
      <c r="X213" s="106"/>
      <c r="Y213" s="107"/>
      <c r="Z213" s="2"/>
    </row>
    <row r="214" spans="1:26" ht="12.75" customHeight="1" outlineLevel="1" x14ac:dyDescent="0.25">
      <c r="A214" s="101"/>
      <c r="B214" s="4" t="s">
        <v>106</v>
      </c>
      <c r="C214" s="4" t="s">
        <v>107</v>
      </c>
      <c r="D214" s="4" t="s">
        <v>108</v>
      </c>
      <c r="E214" s="108"/>
      <c r="F214" s="109"/>
      <c r="G214" s="109"/>
      <c r="H214" s="109"/>
      <c r="I214" s="109"/>
      <c r="J214" s="109"/>
      <c r="K214" s="110"/>
      <c r="L214" s="108"/>
      <c r="M214" s="109"/>
      <c r="N214" s="109"/>
      <c r="O214" s="109"/>
      <c r="P214" s="110"/>
      <c r="Q214" s="4" t="s">
        <v>106</v>
      </c>
      <c r="R214" s="4" t="s">
        <v>107</v>
      </c>
      <c r="S214" s="4" t="s">
        <v>108</v>
      </c>
      <c r="T214" s="108"/>
      <c r="U214" s="109"/>
      <c r="V214" s="109"/>
      <c r="W214" s="109"/>
      <c r="X214" s="109"/>
      <c r="Y214" s="110"/>
      <c r="Z214" s="2"/>
    </row>
    <row r="215" spans="1:26" ht="12.75" customHeight="1" outlineLevel="1" x14ac:dyDescent="0.25">
      <c r="A215" s="202" t="s">
        <v>275</v>
      </c>
      <c r="B215" s="180"/>
      <c r="C215" s="180"/>
      <c r="D215" s="180"/>
      <c r="E215" s="180"/>
      <c r="F215" s="180"/>
      <c r="G215" s="180"/>
      <c r="H215" s="180"/>
      <c r="I215" s="180"/>
      <c r="J215" s="180"/>
      <c r="K215" s="192"/>
      <c r="L215" s="202" t="s">
        <v>276</v>
      </c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92"/>
      <c r="Z215" s="2"/>
    </row>
    <row r="216" spans="1:26" ht="30.75" customHeight="1" outlineLevel="1" x14ac:dyDescent="0.25">
      <c r="A216" s="31" t="s">
        <v>277</v>
      </c>
      <c r="B216" s="32"/>
      <c r="C216" s="32"/>
      <c r="D216" s="33"/>
      <c r="E216" s="203"/>
      <c r="F216" s="156"/>
      <c r="G216" s="156"/>
      <c r="H216" s="156"/>
      <c r="I216" s="156"/>
      <c r="J216" s="156"/>
      <c r="K216" s="174"/>
      <c r="L216" s="190" t="s">
        <v>278</v>
      </c>
      <c r="M216" s="156"/>
      <c r="N216" s="156"/>
      <c r="O216" s="156"/>
      <c r="P216" s="157"/>
      <c r="Q216" s="32"/>
      <c r="R216" s="32"/>
      <c r="S216" s="35"/>
      <c r="T216" s="203"/>
      <c r="U216" s="156"/>
      <c r="V216" s="156"/>
      <c r="W216" s="156"/>
      <c r="X216" s="156"/>
      <c r="Y216" s="174"/>
      <c r="Z216" s="2"/>
    </row>
    <row r="217" spans="1:26" ht="12.75" customHeight="1" outlineLevel="1" x14ac:dyDescent="0.25">
      <c r="A217" s="36" t="s">
        <v>279</v>
      </c>
      <c r="B217" s="37"/>
      <c r="C217" s="37"/>
      <c r="D217" s="38"/>
      <c r="E217" s="204"/>
      <c r="F217" s="91"/>
      <c r="G217" s="91"/>
      <c r="H217" s="91"/>
      <c r="I217" s="91"/>
      <c r="J217" s="91"/>
      <c r="K217" s="197"/>
      <c r="L217" s="177" t="s">
        <v>280</v>
      </c>
      <c r="M217" s="98"/>
      <c r="N217" s="98"/>
      <c r="O217" s="98"/>
      <c r="P217" s="99"/>
      <c r="Q217" s="40"/>
      <c r="R217" s="40"/>
      <c r="S217" s="41"/>
      <c r="T217" s="199"/>
      <c r="U217" s="98"/>
      <c r="V217" s="98"/>
      <c r="W217" s="98"/>
      <c r="X217" s="98"/>
      <c r="Y217" s="176"/>
      <c r="Z217" s="2"/>
    </row>
    <row r="218" spans="1:26" ht="12.75" customHeight="1" outlineLevel="1" x14ac:dyDescent="0.25">
      <c r="A218" s="42" t="s">
        <v>281</v>
      </c>
      <c r="B218" s="43"/>
      <c r="C218" s="43"/>
      <c r="D218" s="44"/>
      <c r="E218" s="205"/>
      <c r="F218" s="163"/>
      <c r="G218" s="163"/>
      <c r="H218" s="163"/>
      <c r="I218" s="163"/>
      <c r="J218" s="163"/>
      <c r="K218" s="163"/>
      <c r="L218" s="200"/>
      <c r="M218" s="188"/>
      <c r="N218" s="188"/>
      <c r="O218" s="188"/>
      <c r="P218" s="188"/>
      <c r="Q218" s="188"/>
      <c r="R218" s="188"/>
      <c r="S218" s="188"/>
      <c r="T218" s="188"/>
      <c r="U218" s="188"/>
      <c r="V218" s="188"/>
      <c r="W218" s="188"/>
      <c r="X218" s="188"/>
      <c r="Y218" s="189"/>
      <c r="Z218" s="2"/>
    </row>
    <row r="219" spans="1:26" ht="12.75" customHeight="1" outlineLevel="1" x14ac:dyDescent="0.25">
      <c r="A219" s="118" t="s">
        <v>48</v>
      </c>
      <c r="B219" s="119" t="s">
        <v>105</v>
      </c>
      <c r="C219" s="120"/>
      <c r="D219" s="121"/>
      <c r="E219" s="125" t="s">
        <v>11</v>
      </c>
      <c r="F219" s="123"/>
      <c r="G219" s="123"/>
      <c r="H219" s="123"/>
      <c r="I219" s="123"/>
      <c r="J219" s="123"/>
      <c r="K219" s="124"/>
      <c r="L219" s="122" t="s">
        <v>48</v>
      </c>
      <c r="M219" s="123"/>
      <c r="N219" s="123"/>
      <c r="O219" s="123"/>
      <c r="P219" s="124"/>
      <c r="Q219" s="119" t="s">
        <v>105</v>
      </c>
      <c r="R219" s="120"/>
      <c r="S219" s="121"/>
      <c r="T219" s="125" t="s">
        <v>11</v>
      </c>
      <c r="U219" s="123"/>
      <c r="V219" s="123"/>
      <c r="W219" s="123"/>
      <c r="X219" s="123"/>
      <c r="Y219" s="124"/>
      <c r="Z219" s="2"/>
    </row>
    <row r="220" spans="1:26" ht="12.75" customHeight="1" outlineLevel="1" x14ac:dyDescent="0.25">
      <c r="A220" s="101"/>
      <c r="B220" s="4" t="s">
        <v>106</v>
      </c>
      <c r="C220" s="4" t="s">
        <v>107</v>
      </c>
      <c r="D220" s="4" t="s">
        <v>108</v>
      </c>
      <c r="E220" s="108"/>
      <c r="F220" s="109"/>
      <c r="G220" s="109"/>
      <c r="H220" s="109"/>
      <c r="I220" s="109"/>
      <c r="J220" s="109"/>
      <c r="K220" s="110"/>
      <c r="L220" s="108"/>
      <c r="M220" s="109"/>
      <c r="N220" s="109"/>
      <c r="O220" s="109"/>
      <c r="P220" s="110"/>
      <c r="Q220" s="4" t="s">
        <v>106</v>
      </c>
      <c r="R220" s="4" t="s">
        <v>107</v>
      </c>
      <c r="S220" s="4" t="s">
        <v>108</v>
      </c>
      <c r="T220" s="108"/>
      <c r="U220" s="109"/>
      <c r="V220" s="109"/>
      <c r="W220" s="109"/>
      <c r="X220" s="109"/>
      <c r="Y220" s="110"/>
      <c r="Z220" s="2"/>
    </row>
    <row r="221" spans="1:26" ht="12.75" customHeight="1" outlineLevel="1" x14ac:dyDescent="0.25">
      <c r="A221" s="198" t="s">
        <v>282</v>
      </c>
      <c r="B221" s="188"/>
      <c r="C221" s="188"/>
      <c r="D221" s="188"/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  <c r="O221" s="188"/>
      <c r="P221" s="188"/>
      <c r="Q221" s="188"/>
      <c r="R221" s="188"/>
      <c r="S221" s="188"/>
      <c r="T221" s="188"/>
      <c r="U221" s="188"/>
      <c r="V221" s="188"/>
      <c r="W221" s="188"/>
      <c r="X221" s="188"/>
      <c r="Y221" s="189"/>
      <c r="Z221" s="2"/>
    </row>
    <row r="222" spans="1:26" ht="12.75" customHeight="1" outlineLevel="1" x14ac:dyDescent="0.25">
      <c r="A222" s="34" t="s">
        <v>283</v>
      </c>
      <c r="B222" s="45"/>
      <c r="C222" s="45"/>
      <c r="D222" s="46"/>
      <c r="E222" s="155"/>
      <c r="F222" s="156"/>
      <c r="G222" s="156"/>
      <c r="H222" s="156"/>
      <c r="I222" s="156"/>
      <c r="J222" s="156"/>
      <c r="K222" s="174"/>
      <c r="L222" s="190" t="s">
        <v>284</v>
      </c>
      <c r="M222" s="156"/>
      <c r="N222" s="156"/>
      <c r="O222" s="156"/>
      <c r="P222" s="157"/>
      <c r="Q222" s="45"/>
      <c r="R222" s="45"/>
      <c r="S222" s="46"/>
      <c r="T222" s="155"/>
      <c r="U222" s="156"/>
      <c r="V222" s="156"/>
      <c r="W222" s="156"/>
      <c r="X222" s="156"/>
      <c r="Y222" s="174"/>
      <c r="Z222" s="2"/>
    </row>
    <row r="223" spans="1:26" ht="27.75" customHeight="1" outlineLevel="1" x14ac:dyDescent="0.25">
      <c r="A223" s="47" t="s">
        <v>285</v>
      </c>
      <c r="B223" s="6"/>
      <c r="C223" s="6"/>
      <c r="D223" s="19"/>
      <c r="E223" s="90"/>
      <c r="F223" s="91"/>
      <c r="G223" s="91"/>
      <c r="H223" s="91"/>
      <c r="I223" s="91"/>
      <c r="J223" s="91"/>
      <c r="K223" s="197"/>
      <c r="L223" s="196" t="s">
        <v>286</v>
      </c>
      <c r="M223" s="91"/>
      <c r="N223" s="91"/>
      <c r="O223" s="91"/>
      <c r="P223" s="92"/>
      <c r="Q223" s="6"/>
      <c r="R223" s="6"/>
      <c r="S223" s="19"/>
      <c r="T223" s="90"/>
      <c r="U223" s="91"/>
      <c r="V223" s="91"/>
      <c r="W223" s="91"/>
      <c r="X223" s="91"/>
      <c r="Y223" s="197"/>
      <c r="Z223" s="2"/>
    </row>
    <row r="224" spans="1:26" ht="12.75" customHeight="1" outlineLevel="1" x14ac:dyDescent="0.25">
      <c r="A224" s="47" t="s">
        <v>287</v>
      </c>
      <c r="B224" s="6"/>
      <c r="C224" s="6"/>
      <c r="D224" s="19"/>
      <c r="E224" s="90"/>
      <c r="F224" s="91"/>
      <c r="G224" s="91"/>
      <c r="H224" s="91"/>
      <c r="I224" s="91"/>
      <c r="J224" s="91"/>
      <c r="K224" s="197"/>
      <c r="L224" s="196" t="s">
        <v>288</v>
      </c>
      <c r="M224" s="91"/>
      <c r="N224" s="91"/>
      <c r="O224" s="91"/>
      <c r="P224" s="92"/>
      <c r="Q224" s="6"/>
      <c r="R224" s="6"/>
      <c r="S224" s="19"/>
      <c r="T224" s="90"/>
      <c r="U224" s="91"/>
      <c r="V224" s="91"/>
      <c r="W224" s="91"/>
      <c r="X224" s="91"/>
      <c r="Y224" s="197"/>
      <c r="Z224" s="2"/>
    </row>
    <row r="225" spans="1:26" ht="25.5" customHeight="1" outlineLevel="1" x14ac:dyDescent="0.25">
      <c r="A225" s="47" t="s">
        <v>289</v>
      </c>
      <c r="B225" s="6"/>
      <c r="C225" s="6"/>
      <c r="D225" s="19"/>
      <c r="E225" s="90"/>
      <c r="F225" s="91"/>
      <c r="G225" s="91"/>
      <c r="H225" s="91"/>
      <c r="I225" s="91"/>
      <c r="J225" s="91"/>
      <c r="K225" s="197"/>
      <c r="L225" s="196" t="s">
        <v>290</v>
      </c>
      <c r="M225" s="91"/>
      <c r="N225" s="91"/>
      <c r="O225" s="91"/>
      <c r="P225" s="92"/>
      <c r="Q225" s="6"/>
      <c r="R225" s="6"/>
      <c r="S225" s="19"/>
      <c r="T225" s="90"/>
      <c r="U225" s="91"/>
      <c r="V225" s="91"/>
      <c r="W225" s="91"/>
      <c r="X225" s="91"/>
      <c r="Y225" s="197"/>
      <c r="Z225" s="2"/>
    </row>
    <row r="226" spans="1:26" ht="12.75" customHeight="1" outlineLevel="1" x14ac:dyDescent="0.25">
      <c r="A226" s="48" t="s">
        <v>291</v>
      </c>
      <c r="B226" s="49"/>
      <c r="C226" s="49"/>
      <c r="D226" s="50"/>
      <c r="E226" s="162"/>
      <c r="F226" s="163"/>
      <c r="G226" s="163"/>
      <c r="H226" s="163"/>
      <c r="I226" s="163"/>
      <c r="J226" s="163"/>
      <c r="K226" s="183"/>
      <c r="L226" s="19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83"/>
      <c r="Z226" s="2"/>
    </row>
    <row r="227" spans="1:26" ht="12.75" customHeight="1" outlineLevel="1" x14ac:dyDescent="0.25">
      <c r="A227" s="118" t="s">
        <v>48</v>
      </c>
      <c r="B227" s="119" t="s">
        <v>105</v>
      </c>
      <c r="C227" s="120"/>
      <c r="D227" s="121"/>
      <c r="E227" s="125" t="s">
        <v>11</v>
      </c>
      <c r="F227" s="123"/>
      <c r="G227" s="123"/>
      <c r="H227" s="123"/>
      <c r="I227" s="123"/>
      <c r="J227" s="123"/>
      <c r="K227" s="124"/>
      <c r="L227" s="122" t="s">
        <v>48</v>
      </c>
      <c r="M227" s="123"/>
      <c r="N227" s="123"/>
      <c r="O227" s="123"/>
      <c r="P227" s="124"/>
      <c r="Q227" s="119" t="s">
        <v>105</v>
      </c>
      <c r="R227" s="120"/>
      <c r="S227" s="121"/>
      <c r="T227" s="125" t="s">
        <v>11</v>
      </c>
      <c r="U227" s="123"/>
      <c r="V227" s="123"/>
      <c r="W227" s="123"/>
      <c r="X227" s="123"/>
      <c r="Y227" s="124"/>
      <c r="Z227" s="2"/>
    </row>
    <row r="228" spans="1:26" ht="12.75" customHeight="1" outlineLevel="1" x14ac:dyDescent="0.25">
      <c r="A228" s="101"/>
      <c r="B228" s="4" t="s">
        <v>106</v>
      </c>
      <c r="C228" s="4" t="s">
        <v>107</v>
      </c>
      <c r="D228" s="4" t="s">
        <v>108</v>
      </c>
      <c r="E228" s="108"/>
      <c r="F228" s="109"/>
      <c r="G228" s="109"/>
      <c r="H228" s="109"/>
      <c r="I228" s="109"/>
      <c r="J228" s="109"/>
      <c r="K228" s="110"/>
      <c r="L228" s="108"/>
      <c r="M228" s="109"/>
      <c r="N228" s="109"/>
      <c r="O228" s="109"/>
      <c r="P228" s="110"/>
      <c r="Q228" s="4" t="s">
        <v>106</v>
      </c>
      <c r="R228" s="4" t="s">
        <v>107</v>
      </c>
      <c r="S228" s="4" t="s">
        <v>108</v>
      </c>
      <c r="T228" s="108"/>
      <c r="U228" s="109"/>
      <c r="V228" s="109"/>
      <c r="W228" s="109"/>
      <c r="X228" s="109"/>
      <c r="Y228" s="110"/>
      <c r="Z228" s="2"/>
    </row>
    <row r="229" spans="1:26" ht="12.75" customHeight="1" outlineLevel="1" x14ac:dyDescent="0.25">
      <c r="A229" s="194" t="s">
        <v>292</v>
      </c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195"/>
      <c r="Z229" s="2"/>
    </row>
    <row r="230" spans="1:26" ht="12.75" customHeight="1" outlineLevel="1" x14ac:dyDescent="0.25">
      <c r="A230" s="51" t="s">
        <v>293</v>
      </c>
      <c r="B230" s="6"/>
      <c r="C230" s="6"/>
      <c r="D230" s="19"/>
      <c r="E230" s="90"/>
      <c r="F230" s="91"/>
      <c r="G230" s="91"/>
      <c r="H230" s="91"/>
      <c r="I230" s="91"/>
      <c r="J230" s="91"/>
      <c r="K230" s="92"/>
      <c r="L230" s="191" t="s">
        <v>294</v>
      </c>
      <c r="M230" s="91"/>
      <c r="N230" s="91"/>
      <c r="O230" s="91"/>
      <c r="P230" s="92"/>
      <c r="Q230" s="52"/>
      <c r="R230" s="6"/>
      <c r="S230" s="19"/>
      <c r="T230" s="90"/>
      <c r="U230" s="91"/>
      <c r="V230" s="91"/>
      <c r="W230" s="91"/>
      <c r="X230" s="91"/>
      <c r="Y230" s="92"/>
      <c r="Z230" s="2"/>
    </row>
    <row r="231" spans="1:26" ht="12.75" customHeight="1" outlineLevel="1" x14ac:dyDescent="0.25">
      <c r="A231" s="51" t="s">
        <v>295</v>
      </c>
      <c r="B231" s="6"/>
      <c r="C231" s="6"/>
      <c r="D231" s="19"/>
      <c r="E231" s="90"/>
      <c r="F231" s="91"/>
      <c r="G231" s="91"/>
      <c r="H231" s="91"/>
      <c r="I231" s="91"/>
      <c r="J231" s="91"/>
      <c r="K231" s="92"/>
      <c r="L231" s="191" t="s">
        <v>296</v>
      </c>
      <c r="M231" s="91"/>
      <c r="N231" s="91"/>
      <c r="O231" s="91"/>
      <c r="P231" s="92"/>
      <c r="Q231" s="53"/>
      <c r="R231" s="6"/>
      <c r="S231" s="19"/>
      <c r="T231" s="90"/>
      <c r="U231" s="91"/>
      <c r="V231" s="91"/>
      <c r="W231" s="91"/>
      <c r="X231" s="91"/>
      <c r="Y231" s="92"/>
      <c r="Z231" s="2"/>
    </row>
    <row r="232" spans="1:26" ht="12.75" customHeight="1" outlineLevel="1" x14ac:dyDescent="0.25">
      <c r="A232" s="51" t="s">
        <v>297</v>
      </c>
      <c r="B232" s="6"/>
      <c r="C232" s="6"/>
      <c r="D232" s="19"/>
      <c r="E232" s="90"/>
      <c r="F232" s="91"/>
      <c r="G232" s="91"/>
      <c r="H232" s="91"/>
      <c r="I232" s="91"/>
      <c r="J232" s="91"/>
      <c r="K232" s="92"/>
      <c r="L232" s="179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92"/>
      <c r="Z232" s="2"/>
    </row>
    <row r="233" spans="1:26" ht="12.75" customHeight="1" outlineLevel="1" x14ac:dyDescent="0.25">
      <c r="A233" s="100" t="s">
        <v>48</v>
      </c>
      <c r="B233" s="102" t="s">
        <v>105</v>
      </c>
      <c r="C233" s="126"/>
      <c r="D233" s="103"/>
      <c r="E233" s="105" t="s">
        <v>11</v>
      </c>
      <c r="F233" s="106"/>
      <c r="G233" s="106"/>
      <c r="H233" s="106"/>
      <c r="I233" s="106"/>
      <c r="J233" s="106"/>
      <c r="K233" s="107"/>
      <c r="L233" s="111" t="s">
        <v>48</v>
      </c>
      <c r="M233" s="106"/>
      <c r="N233" s="106"/>
      <c r="O233" s="106"/>
      <c r="P233" s="107"/>
      <c r="Q233" s="102" t="s">
        <v>105</v>
      </c>
      <c r="R233" s="126"/>
      <c r="S233" s="103"/>
      <c r="T233" s="105" t="s">
        <v>11</v>
      </c>
      <c r="U233" s="106"/>
      <c r="V233" s="106"/>
      <c r="W233" s="106"/>
      <c r="X233" s="106"/>
      <c r="Y233" s="107"/>
      <c r="Z233" s="2"/>
    </row>
    <row r="234" spans="1:26" ht="12.75" customHeight="1" outlineLevel="1" x14ac:dyDescent="0.25">
      <c r="A234" s="101"/>
      <c r="B234" s="4" t="s">
        <v>106</v>
      </c>
      <c r="C234" s="4" t="s">
        <v>107</v>
      </c>
      <c r="D234" s="4" t="s">
        <v>108</v>
      </c>
      <c r="E234" s="108"/>
      <c r="F234" s="109"/>
      <c r="G234" s="109"/>
      <c r="H234" s="109"/>
      <c r="I234" s="109"/>
      <c r="J234" s="109"/>
      <c r="K234" s="110"/>
      <c r="L234" s="108"/>
      <c r="M234" s="109"/>
      <c r="N234" s="109"/>
      <c r="O234" s="109"/>
      <c r="P234" s="110"/>
      <c r="Q234" s="4" t="s">
        <v>106</v>
      </c>
      <c r="R234" s="4" t="s">
        <v>107</v>
      </c>
      <c r="S234" s="4" t="s">
        <v>108</v>
      </c>
      <c r="T234" s="108"/>
      <c r="U234" s="109"/>
      <c r="V234" s="109"/>
      <c r="W234" s="109"/>
      <c r="X234" s="109"/>
      <c r="Y234" s="110"/>
      <c r="Z234" s="2"/>
    </row>
    <row r="235" spans="1:26" ht="12.75" customHeight="1" outlineLevel="1" x14ac:dyDescent="0.25">
      <c r="A235" s="178" t="s">
        <v>298</v>
      </c>
      <c r="B235" s="156"/>
      <c r="C235" s="156"/>
      <c r="D235" s="156"/>
      <c r="E235" s="156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74"/>
      <c r="Z235" s="2"/>
    </row>
    <row r="236" spans="1:26" ht="27.75" customHeight="1" outlineLevel="1" x14ac:dyDescent="0.25">
      <c r="A236" s="54" t="s">
        <v>299</v>
      </c>
      <c r="B236" s="6"/>
      <c r="C236" s="6"/>
      <c r="D236" s="7"/>
      <c r="E236" s="90"/>
      <c r="F236" s="91"/>
      <c r="G236" s="91"/>
      <c r="H236" s="91"/>
      <c r="I236" s="91"/>
      <c r="J236" s="91"/>
      <c r="K236" s="92"/>
      <c r="L236" s="179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1"/>
      <c r="Z236" s="2"/>
    </row>
    <row r="237" spans="1:26" ht="12.75" customHeight="1" outlineLevel="1" x14ac:dyDescent="0.25">
      <c r="A237" s="55" t="s">
        <v>300</v>
      </c>
      <c r="B237" s="49"/>
      <c r="C237" s="49"/>
      <c r="D237" s="56"/>
      <c r="E237" s="162"/>
      <c r="F237" s="163"/>
      <c r="G237" s="163"/>
      <c r="H237" s="163"/>
      <c r="I237" s="163"/>
      <c r="J237" s="163"/>
      <c r="K237" s="164"/>
      <c r="L237" s="182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83"/>
      <c r="Z237" s="2"/>
    </row>
    <row r="238" spans="1:26" ht="12.75" customHeight="1" outlineLevel="1" x14ac:dyDescent="0.25">
      <c r="A238" s="184" t="s">
        <v>301</v>
      </c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54"/>
      <c r="Z238" s="2"/>
    </row>
    <row r="239" spans="1:26" ht="12.75" customHeight="1" outlineLevel="1" x14ac:dyDescent="0.25">
      <c r="A239" s="34" t="s">
        <v>302</v>
      </c>
      <c r="B239" s="57"/>
      <c r="C239" s="58"/>
      <c r="D239" s="59"/>
      <c r="E239" s="90"/>
      <c r="F239" s="91"/>
      <c r="G239" s="91"/>
      <c r="H239" s="91"/>
      <c r="I239" s="91"/>
      <c r="J239" s="91"/>
      <c r="K239" s="92"/>
      <c r="L239" s="190" t="s">
        <v>303</v>
      </c>
      <c r="M239" s="156"/>
      <c r="N239" s="156"/>
      <c r="O239" s="156"/>
      <c r="P239" s="157"/>
      <c r="Q239" s="57"/>
      <c r="R239" s="45"/>
      <c r="S239" s="59"/>
      <c r="T239" s="155"/>
      <c r="U239" s="156"/>
      <c r="V239" s="156"/>
      <c r="W239" s="156"/>
      <c r="X239" s="156"/>
      <c r="Y239" s="174"/>
      <c r="Z239" s="2"/>
    </row>
    <row r="240" spans="1:26" ht="12.75" customHeight="1" outlineLevel="1" x14ac:dyDescent="0.25">
      <c r="A240" s="60" t="s">
        <v>304</v>
      </c>
      <c r="B240" s="53"/>
      <c r="C240" s="61"/>
      <c r="D240" s="62"/>
      <c r="E240" s="90"/>
      <c r="F240" s="91"/>
      <c r="G240" s="91"/>
      <c r="H240" s="91"/>
      <c r="I240" s="91"/>
      <c r="J240" s="91"/>
      <c r="K240" s="92"/>
      <c r="L240" s="161" t="s">
        <v>305</v>
      </c>
      <c r="M240" s="137"/>
      <c r="N240" s="137"/>
      <c r="O240" s="137"/>
      <c r="P240" s="138"/>
      <c r="Q240" s="53"/>
      <c r="R240" s="63"/>
      <c r="S240" s="62"/>
      <c r="T240" s="155"/>
      <c r="U240" s="156"/>
      <c r="V240" s="156"/>
      <c r="W240" s="156"/>
      <c r="X240" s="156"/>
      <c r="Y240" s="174"/>
      <c r="Z240" s="2"/>
    </row>
    <row r="241" spans="1:26" ht="12.75" customHeight="1" outlineLevel="1" x14ac:dyDescent="0.25">
      <c r="A241" s="60" t="s">
        <v>306</v>
      </c>
      <c r="B241" s="53"/>
      <c r="C241" s="61"/>
      <c r="D241" s="62"/>
      <c r="E241" s="90"/>
      <c r="F241" s="91"/>
      <c r="G241" s="91"/>
      <c r="H241" s="91"/>
      <c r="I241" s="91"/>
      <c r="J241" s="91"/>
      <c r="K241" s="92"/>
      <c r="L241" s="161" t="s">
        <v>307</v>
      </c>
      <c r="M241" s="137"/>
      <c r="N241" s="137"/>
      <c r="O241" s="137"/>
      <c r="P241" s="138"/>
      <c r="Q241" s="53"/>
      <c r="R241" s="63"/>
      <c r="S241" s="62"/>
      <c r="T241" s="155"/>
      <c r="U241" s="156"/>
      <c r="V241" s="156"/>
      <c r="W241" s="156"/>
      <c r="X241" s="156"/>
      <c r="Y241" s="174"/>
      <c r="Z241" s="2"/>
    </row>
    <row r="242" spans="1:26" ht="12.75" customHeight="1" outlineLevel="1" x14ac:dyDescent="0.25">
      <c r="A242" s="60" t="s">
        <v>308</v>
      </c>
      <c r="B242" s="53"/>
      <c r="C242" s="61"/>
      <c r="D242" s="62"/>
      <c r="E242" s="90"/>
      <c r="F242" s="91"/>
      <c r="G242" s="91"/>
      <c r="H242" s="91"/>
      <c r="I242" s="91"/>
      <c r="J242" s="91"/>
      <c r="K242" s="92"/>
      <c r="L242" s="161" t="s">
        <v>309</v>
      </c>
      <c r="M242" s="137"/>
      <c r="N242" s="137"/>
      <c r="O242" s="137"/>
      <c r="P242" s="138"/>
      <c r="Q242" s="53"/>
      <c r="R242" s="63"/>
      <c r="S242" s="62"/>
      <c r="T242" s="155"/>
      <c r="U242" s="156"/>
      <c r="V242" s="156"/>
      <c r="W242" s="156"/>
      <c r="X242" s="156"/>
      <c r="Y242" s="174"/>
      <c r="Z242" s="2"/>
    </row>
    <row r="243" spans="1:26" ht="12.75" customHeight="1" outlineLevel="1" x14ac:dyDescent="0.25">
      <c r="A243" s="39" t="s">
        <v>310</v>
      </c>
      <c r="B243" s="53"/>
      <c r="C243" s="64"/>
      <c r="D243" s="65"/>
      <c r="E243" s="175"/>
      <c r="F243" s="98"/>
      <c r="G243" s="98"/>
      <c r="H243" s="98"/>
      <c r="I243" s="98"/>
      <c r="J243" s="98"/>
      <c r="K243" s="176"/>
      <c r="L243" s="177" t="s">
        <v>311</v>
      </c>
      <c r="M243" s="98"/>
      <c r="N243" s="98"/>
      <c r="O243" s="98"/>
      <c r="P243" s="99"/>
      <c r="Q243" s="53"/>
      <c r="R243" s="15"/>
      <c r="S243" s="65"/>
      <c r="T243" s="175"/>
      <c r="U243" s="98"/>
      <c r="V243" s="98"/>
      <c r="W243" s="98"/>
      <c r="X243" s="98"/>
      <c r="Y243" s="176"/>
      <c r="Z243" s="2"/>
    </row>
    <row r="244" spans="1:26" ht="12.75" customHeight="1" outlineLevel="1" x14ac:dyDescent="0.25">
      <c r="A244" s="66" t="s">
        <v>312</v>
      </c>
      <c r="B244" s="57"/>
      <c r="C244" s="67"/>
      <c r="D244" s="68"/>
      <c r="E244" s="155"/>
      <c r="F244" s="156"/>
      <c r="G244" s="156"/>
      <c r="H244" s="156"/>
      <c r="I244" s="156"/>
      <c r="J244" s="156"/>
      <c r="K244" s="157"/>
      <c r="L244" s="158" t="s">
        <v>313</v>
      </c>
      <c r="M244" s="159"/>
      <c r="N244" s="159"/>
      <c r="O244" s="159"/>
      <c r="P244" s="160"/>
      <c r="Q244" s="57"/>
      <c r="R244" s="69"/>
      <c r="S244" s="68"/>
      <c r="T244" s="155"/>
      <c r="U244" s="156"/>
      <c r="V244" s="156"/>
      <c r="W244" s="156"/>
      <c r="X244" s="156"/>
      <c r="Y244" s="174"/>
      <c r="Z244" s="2"/>
    </row>
    <row r="245" spans="1:26" ht="12.75" customHeight="1" outlineLevel="1" x14ac:dyDescent="0.25">
      <c r="A245" s="60" t="s">
        <v>314</v>
      </c>
      <c r="B245" s="53"/>
      <c r="C245" s="61"/>
      <c r="D245" s="62"/>
      <c r="E245" s="90"/>
      <c r="F245" s="91"/>
      <c r="G245" s="91"/>
      <c r="H245" s="91"/>
      <c r="I245" s="91"/>
      <c r="J245" s="91"/>
      <c r="K245" s="92"/>
      <c r="L245" s="161" t="s">
        <v>315</v>
      </c>
      <c r="M245" s="137"/>
      <c r="N245" s="137"/>
      <c r="O245" s="137"/>
      <c r="P245" s="138"/>
      <c r="Q245" s="53"/>
      <c r="R245" s="63"/>
      <c r="S245" s="62"/>
      <c r="T245" s="155"/>
      <c r="U245" s="156"/>
      <c r="V245" s="156"/>
      <c r="W245" s="156"/>
      <c r="X245" s="156"/>
      <c r="Y245" s="174"/>
      <c r="Z245" s="2"/>
    </row>
    <row r="246" spans="1:26" ht="12.75" customHeight="1" outlineLevel="1" x14ac:dyDescent="0.25">
      <c r="A246" s="70" t="s">
        <v>316</v>
      </c>
      <c r="B246" s="71"/>
      <c r="C246" s="72"/>
      <c r="D246" s="73"/>
      <c r="E246" s="162"/>
      <c r="F246" s="163"/>
      <c r="G246" s="163"/>
      <c r="H246" s="163"/>
      <c r="I246" s="163"/>
      <c r="J246" s="163"/>
      <c r="K246" s="164"/>
      <c r="L246" s="165" t="s">
        <v>317</v>
      </c>
      <c r="M246" s="166"/>
      <c r="N246" s="166"/>
      <c r="O246" s="166"/>
      <c r="P246" s="167"/>
      <c r="Q246" s="71"/>
      <c r="R246" s="74"/>
      <c r="S246" s="73"/>
      <c r="T246" s="187"/>
      <c r="U246" s="188"/>
      <c r="V246" s="188"/>
      <c r="W246" s="188"/>
      <c r="X246" s="188"/>
      <c r="Y246" s="189"/>
      <c r="Z246" s="2"/>
    </row>
    <row r="247" spans="1:26" ht="12.75" customHeight="1" x14ac:dyDescent="0.25">
      <c r="A247" s="168" t="s">
        <v>318</v>
      </c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69"/>
      <c r="Z247" s="2"/>
    </row>
    <row r="248" spans="1:26" ht="12.75" customHeight="1" outlineLevel="1" x14ac:dyDescent="0.25">
      <c r="A248" s="170" t="s">
        <v>48</v>
      </c>
      <c r="B248" s="150" t="s">
        <v>9</v>
      </c>
      <c r="C248" s="151"/>
      <c r="D248" s="151"/>
      <c r="E248" s="152"/>
      <c r="F248" s="185" t="s">
        <v>11</v>
      </c>
      <c r="G248" s="98"/>
      <c r="H248" s="98"/>
      <c r="I248" s="98"/>
      <c r="J248" s="98"/>
      <c r="K248" s="149"/>
      <c r="L248" s="148" t="s">
        <v>48</v>
      </c>
      <c r="M248" s="98"/>
      <c r="N248" s="98"/>
      <c r="O248" s="98"/>
      <c r="P248" s="149"/>
      <c r="Q248" s="150" t="s">
        <v>105</v>
      </c>
      <c r="R248" s="151"/>
      <c r="S248" s="152"/>
      <c r="T248" s="172" t="s">
        <v>11</v>
      </c>
      <c r="U248" s="98"/>
      <c r="V248" s="98"/>
      <c r="W248" s="98"/>
      <c r="X248" s="98"/>
      <c r="Y248" s="99"/>
      <c r="Z248" s="2"/>
    </row>
    <row r="249" spans="1:26" ht="12.75" customHeight="1" outlineLevel="1" x14ac:dyDescent="0.25">
      <c r="A249" s="171"/>
      <c r="B249" s="75">
        <v>45944</v>
      </c>
      <c r="C249" s="76" t="s">
        <v>26</v>
      </c>
      <c r="D249" s="76" t="s">
        <v>27</v>
      </c>
      <c r="E249" s="76" t="s">
        <v>24</v>
      </c>
      <c r="F249" s="186"/>
      <c r="G249" s="109"/>
      <c r="H249" s="109"/>
      <c r="I249" s="109"/>
      <c r="J249" s="109"/>
      <c r="K249" s="110"/>
      <c r="L249" s="108"/>
      <c r="M249" s="109"/>
      <c r="N249" s="109"/>
      <c r="O249" s="109"/>
      <c r="P249" s="110"/>
      <c r="Q249" s="77" t="s">
        <v>106</v>
      </c>
      <c r="R249" s="77" t="s">
        <v>107</v>
      </c>
      <c r="S249" s="77" t="s">
        <v>108</v>
      </c>
      <c r="T249" s="108"/>
      <c r="U249" s="109"/>
      <c r="V249" s="109"/>
      <c r="W249" s="109"/>
      <c r="X249" s="109"/>
      <c r="Y249" s="173"/>
      <c r="Z249" s="2"/>
    </row>
    <row r="250" spans="1:26" ht="12.75" customHeight="1" outlineLevel="1" x14ac:dyDescent="0.25">
      <c r="A250" s="78" t="s">
        <v>319</v>
      </c>
      <c r="B250" s="6"/>
      <c r="C250" s="6"/>
      <c r="D250" s="6"/>
      <c r="E250" s="6"/>
      <c r="F250" s="90"/>
      <c r="G250" s="91"/>
      <c r="H250" s="91"/>
      <c r="I250" s="91"/>
      <c r="J250" s="91"/>
      <c r="K250" s="92"/>
      <c r="L250" s="153" t="s">
        <v>320</v>
      </c>
      <c r="M250" s="114"/>
      <c r="N250" s="114"/>
      <c r="O250" s="114"/>
      <c r="P250" s="154"/>
      <c r="Q250" s="6"/>
      <c r="R250" s="6"/>
      <c r="S250" s="6"/>
      <c r="T250" s="90"/>
      <c r="U250" s="91"/>
      <c r="V250" s="91"/>
      <c r="W250" s="91"/>
      <c r="X250" s="91"/>
      <c r="Y250" s="92"/>
      <c r="Z250" s="2"/>
    </row>
    <row r="251" spans="1:26" ht="12.75" customHeight="1" outlineLevel="1" x14ac:dyDescent="0.25">
      <c r="A251" s="79" t="s">
        <v>321</v>
      </c>
      <c r="B251" s="80"/>
      <c r="C251" s="6"/>
      <c r="D251" s="6"/>
      <c r="E251" s="6"/>
      <c r="F251" s="90"/>
      <c r="G251" s="91"/>
      <c r="H251" s="91"/>
      <c r="I251" s="91"/>
      <c r="J251" s="91"/>
      <c r="K251" s="92"/>
      <c r="L251" s="136" t="s">
        <v>322</v>
      </c>
      <c r="M251" s="137"/>
      <c r="N251" s="137"/>
      <c r="O251" s="137"/>
      <c r="P251" s="138"/>
      <c r="Q251" s="6"/>
      <c r="R251" s="6"/>
      <c r="S251" s="6"/>
      <c r="T251" s="90"/>
      <c r="U251" s="91"/>
      <c r="V251" s="91"/>
      <c r="W251" s="91"/>
      <c r="X251" s="91"/>
      <c r="Y251" s="92"/>
      <c r="Z251" s="2"/>
    </row>
    <row r="252" spans="1:26" ht="12.75" customHeight="1" outlineLevel="1" x14ac:dyDescent="0.25">
      <c r="A252" s="79" t="s">
        <v>323</v>
      </c>
      <c r="B252" s="6"/>
      <c r="C252" s="6"/>
      <c r="D252" s="6"/>
      <c r="E252" s="6"/>
      <c r="F252" s="90"/>
      <c r="G252" s="91"/>
      <c r="H252" s="91"/>
      <c r="I252" s="91"/>
      <c r="J252" s="91"/>
      <c r="K252" s="92"/>
      <c r="L252" s="136" t="s">
        <v>324</v>
      </c>
      <c r="M252" s="137"/>
      <c r="N252" s="137"/>
      <c r="O252" s="137"/>
      <c r="P252" s="138"/>
      <c r="Q252" s="6"/>
      <c r="R252" s="6"/>
      <c r="S252" s="6"/>
      <c r="T252" s="90"/>
      <c r="U252" s="91"/>
      <c r="V252" s="91"/>
      <c r="W252" s="91"/>
      <c r="X252" s="91"/>
      <c r="Y252" s="92"/>
      <c r="Z252" s="2"/>
    </row>
    <row r="253" spans="1:26" ht="12.75" customHeight="1" outlineLevel="1" x14ac:dyDescent="0.25">
      <c r="A253" s="79" t="s">
        <v>325</v>
      </c>
      <c r="B253" s="6"/>
      <c r="C253" s="6"/>
      <c r="D253" s="6"/>
      <c r="E253" s="6"/>
      <c r="F253" s="90"/>
      <c r="G253" s="91"/>
      <c r="H253" s="91"/>
      <c r="I253" s="91"/>
      <c r="J253" s="91"/>
      <c r="K253" s="92"/>
      <c r="L253" s="136" t="s">
        <v>326</v>
      </c>
      <c r="M253" s="137"/>
      <c r="N253" s="137"/>
      <c r="O253" s="137"/>
      <c r="P253" s="138"/>
      <c r="Q253" s="6"/>
      <c r="R253" s="6"/>
      <c r="S253" s="6"/>
      <c r="T253" s="90"/>
      <c r="U253" s="91"/>
      <c r="V253" s="91"/>
      <c r="W253" s="91"/>
      <c r="X253" s="91"/>
      <c r="Y253" s="92"/>
      <c r="Z253" s="2"/>
    </row>
    <row r="254" spans="1:26" ht="12.75" customHeight="1" outlineLevel="1" x14ac:dyDescent="0.25">
      <c r="A254" s="79" t="s">
        <v>327</v>
      </c>
      <c r="B254" s="6"/>
      <c r="C254" s="6"/>
      <c r="D254" s="6"/>
      <c r="E254" s="6"/>
      <c r="F254" s="90"/>
      <c r="G254" s="91"/>
      <c r="H254" s="91"/>
      <c r="I254" s="91"/>
      <c r="J254" s="91"/>
      <c r="K254" s="92"/>
      <c r="L254" s="136" t="s">
        <v>328</v>
      </c>
      <c r="M254" s="137"/>
      <c r="N254" s="137"/>
      <c r="O254" s="137"/>
      <c r="P254" s="138"/>
      <c r="Q254" s="6"/>
      <c r="R254" s="6"/>
      <c r="S254" s="6"/>
      <c r="T254" s="90"/>
      <c r="U254" s="91"/>
      <c r="V254" s="91"/>
      <c r="W254" s="91"/>
      <c r="X254" s="91"/>
      <c r="Y254" s="92"/>
      <c r="Z254" s="2"/>
    </row>
    <row r="255" spans="1:26" ht="12.75" customHeight="1" outlineLevel="1" x14ac:dyDescent="0.25">
      <c r="A255" s="79" t="s">
        <v>329</v>
      </c>
      <c r="B255" s="6"/>
      <c r="C255" s="6"/>
      <c r="D255" s="6"/>
      <c r="E255" s="6"/>
      <c r="F255" s="90"/>
      <c r="G255" s="91"/>
      <c r="H255" s="91"/>
      <c r="I255" s="91"/>
      <c r="J255" s="91"/>
      <c r="K255" s="92"/>
      <c r="L255" s="139" t="s">
        <v>330</v>
      </c>
      <c r="M255" s="140"/>
      <c r="N255" s="140"/>
      <c r="O255" s="140"/>
      <c r="P255" s="141"/>
      <c r="Q255" s="6"/>
      <c r="R255" s="6"/>
      <c r="S255" s="6"/>
      <c r="T255" s="90"/>
      <c r="U255" s="91"/>
      <c r="V255" s="91"/>
      <c r="W255" s="91"/>
      <c r="X255" s="91"/>
      <c r="Y255" s="92"/>
      <c r="Z255" s="2"/>
    </row>
    <row r="256" spans="1:26" ht="12.75" customHeight="1" outlineLevel="1" x14ac:dyDescent="0.25">
      <c r="A256" s="79" t="s">
        <v>331</v>
      </c>
      <c r="B256" s="6"/>
      <c r="C256" s="6"/>
      <c r="D256" s="6"/>
      <c r="E256" s="6"/>
      <c r="F256" s="90"/>
      <c r="G256" s="91"/>
      <c r="H256" s="91"/>
      <c r="I256" s="91"/>
      <c r="J256" s="91"/>
      <c r="K256" s="92"/>
      <c r="L256" s="142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143"/>
      <c r="Z256" s="2"/>
    </row>
    <row r="257" spans="1:26" ht="12.75" customHeight="1" outlineLevel="1" x14ac:dyDescent="0.25">
      <c r="A257" s="79" t="s">
        <v>332</v>
      </c>
      <c r="B257" s="6"/>
      <c r="C257" s="6"/>
      <c r="D257" s="6"/>
      <c r="E257" s="6"/>
      <c r="F257" s="90"/>
      <c r="G257" s="91"/>
      <c r="H257" s="91"/>
      <c r="I257" s="91"/>
      <c r="J257" s="91"/>
      <c r="K257" s="92"/>
      <c r="L257" s="144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45"/>
      <c r="Z257" s="2"/>
    </row>
    <row r="258" spans="1:26" ht="12.75" customHeight="1" outlineLevel="1" x14ac:dyDescent="0.25">
      <c r="A258" s="81"/>
      <c r="B258" s="82" t="s">
        <v>106</v>
      </c>
      <c r="C258" s="82" t="s">
        <v>107</v>
      </c>
      <c r="D258" s="131" t="s">
        <v>108</v>
      </c>
      <c r="E258" s="132"/>
      <c r="F258" s="133" t="s">
        <v>11</v>
      </c>
      <c r="G258" s="114"/>
      <c r="H258" s="114"/>
      <c r="I258" s="114"/>
      <c r="J258" s="114"/>
      <c r="K258" s="132"/>
      <c r="L258" s="144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45"/>
      <c r="Z258" s="2"/>
    </row>
    <row r="259" spans="1:26" ht="12.75" customHeight="1" outlineLevel="1" x14ac:dyDescent="0.25">
      <c r="A259" s="83" t="s">
        <v>333</v>
      </c>
      <c r="B259" s="84"/>
      <c r="C259" s="25"/>
      <c r="D259" s="25"/>
      <c r="E259" s="22"/>
      <c r="F259" s="90"/>
      <c r="G259" s="91"/>
      <c r="H259" s="91"/>
      <c r="I259" s="91"/>
      <c r="J259" s="91"/>
      <c r="K259" s="92"/>
      <c r="L259" s="144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45"/>
      <c r="Z259" s="2"/>
    </row>
    <row r="260" spans="1:26" ht="12.75" customHeight="1" x14ac:dyDescent="0.25">
      <c r="A260" s="83" t="s">
        <v>334</v>
      </c>
      <c r="B260" s="84"/>
      <c r="C260" s="25"/>
      <c r="D260" s="25"/>
      <c r="E260" s="22"/>
      <c r="F260" s="90"/>
      <c r="G260" s="91"/>
      <c r="H260" s="91"/>
      <c r="I260" s="91"/>
      <c r="J260" s="91"/>
      <c r="K260" s="92"/>
      <c r="L260" s="144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45"/>
      <c r="Z260" s="2"/>
    </row>
    <row r="261" spans="1:26" ht="12.75" customHeight="1" x14ac:dyDescent="0.25">
      <c r="A261" s="83" t="s">
        <v>335</v>
      </c>
      <c r="B261" s="84"/>
      <c r="C261" s="25"/>
      <c r="D261" s="25"/>
      <c r="E261" s="22"/>
      <c r="F261" s="90"/>
      <c r="G261" s="91"/>
      <c r="H261" s="91"/>
      <c r="I261" s="91"/>
      <c r="J261" s="91"/>
      <c r="K261" s="92"/>
      <c r="L261" s="144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45"/>
      <c r="Z261" s="2"/>
    </row>
    <row r="262" spans="1:26" ht="12.75" customHeight="1" x14ac:dyDescent="0.25">
      <c r="A262" s="83" t="s">
        <v>336</v>
      </c>
      <c r="B262" s="84"/>
      <c r="C262" s="25"/>
      <c r="D262" s="25"/>
      <c r="E262" s="22"/>
      <c r="F262" s="90"/>
      <c r="G262" s="91"/>
      <c r="H262" s="91"/>
      <c r="I262" s="91"/>
      <c r="J262" s="91"/>
      <c r="K262" s="92"/>
      <c r="L262" s="144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45"/>
      <c r="Z262" s="2"/>
    </row>
    <row r="263" spans="1:26" ht="12.75" customHeight="1" x14ac:dyDescent="0.25">
      <c r="A263" s="83" t="s">
        <v>337</v>
      </c>
      <c r="B263" s="84"/>
      <c r="C263" s="25"/>
      <c r="D263" s="25"/>
      <c r="E263" s="22"/>
      <c r="F263" s="90"/>
      <c r="G263" s="91"/>
      <c r="H263" s="91"/>
      <c r="I263" s="91"/>
      <c r="J263" s="91"/>
      <c r="K263" s="92"/>
      <c r="L263" s="144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45"/>
      <c r="Z263" s="2"/>
    </row>
    <row r="264" spans="1:26" ht="12.75" customHeight="1" x14ac:dyDescent="0.25">
      <c r="A264" s="83" t="s">
        <v>338</v>
      </c>
      <c r="B264" s="84"/>
      <c r="C264" s="25"/>
      <c r="D264" s="25"/>
      <c r="E264" s="22"/>
      <c r="F264" s="90"/>
      <c r="G264" s="91"/>
      <c r="H264" s="91"/>
      <c r="I264" s="91"/>
      <c r="J264" s="91"/>
      <c r="K264" s="92"/>
      <c r="L264" s="144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45"/>
      <c r="Z264" s="2"/>
    </row>
    <row r="265" spans="1:26" ht="12.75" customHeight="1" x14ac:dyDescent="0.25">
      <c r="A265" s="83" t="s">
        <v>339</v>
      </c>
      <c r="B265" s="84"/>
      <c r="C265" s="25"/>
      <c r="D265" s="25"/>
      <c r="E265" s="22"/>
      <c r="F265" s="90"/>
      <c r="G265" s="91"/>
      <c r="H265" s="91"/>
      <c r="I265" s="91"/>
      <c r="J265" s="91"/>
      <c r="K265" s="92"/>
      <c r="L265" s="146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47"/>
      <c r="Z265" s="2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2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2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2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2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2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2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2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2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2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2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2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2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2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2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2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2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2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2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2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2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2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2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2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2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2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2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2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2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2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2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2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2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2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2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2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2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2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2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2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2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2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2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2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2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2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2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2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2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2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2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2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2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2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2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2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2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2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2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2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2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2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2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2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2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2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2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2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2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2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2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2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2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2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2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2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2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2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2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2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2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2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2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2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2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2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2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2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2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2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2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2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2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2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2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2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2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2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2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2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2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2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2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2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2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2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2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2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2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2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2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2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2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2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2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2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2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2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2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2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2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2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2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2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2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2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2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2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2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2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2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2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2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2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2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2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2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2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2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2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2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2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2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2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2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2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2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2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2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2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2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2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2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2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2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2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2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2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2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2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2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2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2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2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2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2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2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2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2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2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2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2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2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2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2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2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2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2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2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2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2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2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2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2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2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2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2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2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2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2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2"/>
    </row>
    <row r="466" spans="1:26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20">
    <mergeCell ref="A1:A7"/>
    <mergeCell ref="D1:R1"/>
    <mergeCell ref="U1:Y7"/>
    <mergeCell ref="D2:R2"/>
    <mergeCell ref="D3:R3"/>
    <mergeCell ref="D4:R4"/>
    <mergeCell ref="D5:R5"/>
    <mergeCell ref="D6:R6"/>
    <mergeCell ref="A8:Y8"/>
    <mergeCell ref="A9:D10"/>
    <mergeCell ref="E9:P9"/>
    <mergeCell ref="Q9:T10"/>
    <mergeCell ref="U9:Y10"/>
    <mergeCell ref="E10:H10"/>
    <mergeCell ref="M11:P11"/>
    <mergeCell ref="N12:Q13"/>
    <mergeCell ref="R12:U13"/>
    <mergeCell ref="V12:Y13"/>
    <mergeCell ref="J13:M13"/>
    <mergeCell ref="I10:L10"/>
    <mergeCell ref="M10:P10"/>
    <mergeCell ref="E11:H11"/>
    <mergeCell ref="I11:L11"/>
    <mergeCell ref="Q11:T11"/>
    <mergeCell ref="U11:Y11"/>
    <mergeCell ref="F12:M12"/>
    <mergeCell ref="A11:D11"/>
    <mergeCell ref="A12:A15"/>
    <mergeCell ref="B12:E13"/>
    <mergeCell ref="F13:I13"/>
    <mergeCell ref="B14:D14"/>
    <mergeCell ref="E14:E15"/>
    <mergeCell ref="I14:I15"/>
    <mergeCell ref="V14:X14"/>
    <mergeCell ref="Y14:Y15"/>
    <mergeCell ref="F14:H14"/>
    <mergeCell ref="J14:L14"/>
    <mergeCell ref="M14:M15"/>
    <mergeCell ref="N14:P14"/>
    <mergeCell ref="Q14:Q15"/>
    <mergeCell ref="R14:T14"/>
    <mergeCell ref="U14:U15"/>
    <mergeCell ref="T36:U37"/>
    <mergeCell ref="V36:Y37"/>
    <mergeCell ref="T39:U39"/>
    <mergeCell ref="V39:Y39"/>
    <mergeCell ref="T40:U40"/>
    <mergeCell ref="V40:Y40"/>
    <mergeCell ref="A35:Y35"/>
    <mergeCell ref="A36:A37"/>
    <mergeCell ref="B36:D36"/>
    <mergeCell ref="G36:K37"/>
    <mergeCell ref="L36:P37"/>
    <mergeCell ref="Q36:S36"/>
    <mergeCell ref="A38:Y38"/>
    <mergeCell ref="E36:F37"/>
    <mergeCell ref="E39:F39"/>
    <mergeCell ref="G39:K39"/>
    <mergeCell ref="L39:P39"/>
    <mergeCell ref="E40:F40"/>
    <mergeCell ref="G40:K40"/>
    <mergeCell ref="L40:P40"/>
    <mergeCell ref="L44:P45"/>
    <mergeCell ref="Q44:S44"/>
    <mergeCell ref="T44:U45"/>
    <mergeCell ref="V44:Y45"/>
    <mergeCell ref="E42:F42"/>
    <mergeCell ref="E43:F43"/>
    <mergeCell ref="G43:K43"/>
    <mergeCell ref="L43:P43"/>
    <mergeCell ref="T41:U41"/>
    <mergeCell ref="T42:U42"/>
    <mergeCell ref="T43:U43"/>
    <mergeCell ref="V43:Y43"/>
    <mergeCell ref="E41:F41"/>
    <mergeCell ref="G41:K41"/>
    <mergeCell ref="L41:P41"/>
    <mergeCell ref="V41:Y41"/>
    <mergeCell ref="G42:K42"/>
    <mergeCell ref="L42:P42"/>
    <mergeCell ref="V42:Y42"/>
    <mergeCell ref="A44:A45"/>
    <mergeCell ref="B44:D44"/>
    <mergeCell ref="E44:F45"/>
    <mergeCell ref="T46:U46"/>
    <mergeCell ref="T47:U47"/>
    <mergeCell ref="T48:U48"/>
    <mergeCell ref="V48:Y48"/>
    <mergeCell ref="T49:U49"/>
    <mergeCell ref="V49:Y49"/>
    <mergeCell ref="E46:F46"/>
    <mergeCell ref="G46:K46"/>
    <mergeCell ref="L46:P46"/>
    <mergeCell ref="V46:Y46"/>
    <mergeCell ref="G47:K47"/>
    <mergeCell ref="L47:P47"/>
    <mergeCell ref="V47:Y47"/>
    <mergeCell ref="E47:F47"/>
    <mergeCell ref="E48:F48"/>
    <mergeCell ref="G48:K48"/>
    <mergeCell ref="L48:P48"/>
    <mergeCell ref="E49:F49"/>
    <mergeCell ref="G49:K49"/>
    <mergeCell ref="L49:P49"/>
    <mergeCell ref="G44:K45"/>
    <mergeCell ref="T50:U50"/>
    <mergeCell ref="T51:U51"/>
    <mergeCell ref="E50:F50"/>
    <mergeCell ref="G50:K50"/>
    <mergeCell ref="L50:P50"/>
    <mergeCell ref="V50:Y50"/>
    <mergeCell ref="G51:K51"/>
    <mergeCell ref="L51:P51"/>
    <mergeCell ref="V51:Y51"/>
    <mergeCell ref="L52:Y52"/>
    <mergeCell ref="L53:P54"/>
    <mergeCell ref="Q53:S53"/>
    <mergeCell ref="T53:U54"/>
    <mergeCell ref="V53:Y54"/>
    <mergeCell ref="A55:Y55"/>
    <mergeCell ref="E51:F51"/>
    <mergeCell ref="E52:F52"/>
    <mergeCell ref="G52:K52"/>
    <mergeCell ref="A53:A54"/>
    <mergeCell ref="B53:D53"/>
    <mergeCell ref="E53:F54"/>
    <mergeCell ref="G53:K54"/>
    <mergeCell ref="G61:K62"/>
    <mergeCell ref="E60:F60"/>
    <mergeCell ref="G60:K60"/>
    <mergeCell ref="L60:P60"/>
    <mergeCell ref="V60:Y60"/>
    <mergeCell ref="A61:A62"/>
    <mergeCell ref="B61:B62"/>
    <mergeCell ref="V61:Y61"/>
    <mergeCell ref="T60:U60"/>
    <mergeCell ref="T61:U61"/>
    <mergeCell ref="V62:Y62"/>
    <mergeCell ref="T56:U56"/>
    <mergeCell ref="T57:U57"/>
    <mergeCell ref="T58:U58"/>
    <mergeCell ref="V58:Y58"/>
    <mergeCell ref="T59:U59"/>
    <mergeCell ref="V59:Y59"/>
    <mergeCell ref="E56:F56"/>
    <mergeCell ref="G56:K56"/>
    <mergeCell ref="L56:P56"/>
    <mergeCell ref="V56:Y56"/>
    <mergeCell ref="G57:K57"/>
    <mergeCell ref="L57:P57"/>
    <mergeCell ref="V57:Y57"/>
    <mergeCell ref="E57:F57"/>
    <mergeCell ref="E58:F58"/>
    <mergeCell ref="G58:K58"/>
    <mergeCell ref="L58:P58"/>
    <mergeCell ref="E59:F59"/>
    <mergeCell ref="G59:K59"/>
    <mergeCell ref="L59:P59"/>
    <mergeCell ref="V63:Y63"/>
    <mergeCell ref="V64:Y64"/>
    <mergeCell ref="V65:Y65"/>
    <mergeCell ref="Q66:S66"/>
    <mergeCell ref="V66:Y67"/>
    <mergeCell ref="C61:C62"/>
    <mergeCell ref="D61:D62"/>
    <mergeCell ref="E63:F63"/>
    <mergeCell ref="G63:K63"/>
    <mergeCell ref="E64:F64"/>
    <mergeCell ref="G64:K64"/>
    <mergeCell ref="G65:K65"/>
    <mergeCell ref="T63:U63"/>
    <mergeCell ref="T64:U64"/>
    <mergeCell ref="T65:U65"/>
    <mergeCell ref="T66:U67"/>
    <mergeCell ref="L61:P61"/>
    <mergeCell ref="L62:P62"/>
    <mergeCell ref="L63:P63"/>
    <mergeCell ref="L64:P64"/>
    <mergeCell ref="L65:P65"/>
    <mergeCell ref="L66:P67"/>
    <mergeCell ref="T62:U62"/>
    <mergeCell ref="E61:F62"/>
    <mergeCell ref="T69:U69"/>
    <mergeCell ref="V69:Y69"/>
    <mergeCell ref="T70:U70"/>
    <mergeCell ref="V70:Y70"/>
    <mergeCell ref="L71:Y81"/>
    <mergeCell ref="E65:F65"/>
    <mergeCell ref="A66:A67"/>
    <mergeCell ref="B66:D66"/>
    <mergeCell ref="E66:F67"/>
    <mergeCell ref="G66:K67"/>
    <mergeCell ref="A68:Y68"/>
    <mergeCell ref="E69:F69"/>
    <mergeCell ref="G69:K69"/>
    <mergeCell ref="L69:P69"/>
    <mergeCell ref="E70:F70"/>
    <mergeCell ref="G70:K70"/>
    <mergeCell ref="L70:P70"/>
    <mergeCell ref="E71:F71"/>
    <mergeCell ref="G71:K71"/>
    <mergeCell ref="A73:A74"/>
    <mergeCell ref="A75:A76"/>
    <mergeCell ref="A78:A79"/>
    <mergeCell ref="E72:F72"/>
    <mergeCell ref="G72:K72"/>
    <mergeCell ref="G73:K74"/>
    <mergeCell ref="B75:D75"/>
    <mergeCell ref="L83:P84"/>
    <mergeCell ref="Q83:S83"/>
    <mergeCell ref="G75:K76"/>
    <mergeCell ref="G77:K77"/>
    <mergeCell ref="G78:K79"/>
    <mergeCell ref="G80:K80"/>
    <mergeCell ref="G81:K81"/>
    <mergeCell ref="A82:Y82"/>
    <mergeCell ref="T83:Y84"/>
    <mergeCell ref="A83:A84"/>
    <mergeCell ref="E73:F74"/>
    <mergeCell ref="E75:F76"/>
    <mergeCell ref="E77:F77"/>
    <mergeCell ref="B78:D78"/>
    <mergeCell ref="E78:F79"/>
    <mergeCell ref="E80:F80"/>
    <mergeCell ref="E81:F81"/>
    <mergeCell ref="B83:D83"/>
    <mergeCell ref="B73:B74"/>
    <mergeCell ref="C73:C74"/>
    <mergeCell ref="D73:D74"/>
    <mergeCell ref="T87:Y87"/>
    <mergeCell ref="T88:Y88"/>
    <mergeCell ref="E83:K84"/>
    <mergeCell ref="A85:Y85"/>
    <mergeCell ref="A86:Y86"/>
    <mergeCell ref="E87:K87"/>
    <mergeCell ref="L87:P87"/>
    <mergeCell ref="E88:K88"/>
    <mergeCell ref="L88:P88"/>
    <mergeCell ref="T91:Y91"/>
    <mergeCell ref="T92:Y92"/>
    <mergeCell ref="T93:Y93"/>
    <mergeCell ref="T94:Y94"/>
    <mergeCell ref="T95:Y95"/>
    <mergeCell ref="T96:Y96"/>
    <mergeCell ref="T97:Y97"/>
    <mergeCell ref="E89:K89"/>
    <mergeCell ref="L89:Y89"/>
    <mergeCell ref="A90:Y90"/>
    <mergeCell ref="E91:K91"/>
    <mergeCell ref="L91:P91"/>
    <mergeCell ref="E92:K92"/>
    <mergeCell ref="L92:P92"/>
    <mergeCell ref="E93:K93"/>
    <mergeCell ref="L93:P93"/>
    <mergeCell ref="E94:K94"/>
    <mergeCell ref="L94:P94"/>
    <mergeCell ref="E95:K95"/>
    <mergeCell ref="L95:P95"/>
    <mergeCell ref="L96:P96"/>
    <mergeCell ref="E96:K96"/>
    <mergeCell ref="E97:K97"/>
    <mergeCell ref="L97:P97"/>
    <mergeCell ref="A98:Y98"/>
    <mergeCell ref="E99:K99"/>
    <mergeCell ref="L99:P99"/>
    <mergeCell ref="T99:Y99"/>
    <mergeCell ref="E118:K118"/>
    <mergeCell ref="L118:P118"/>
    <mergeCell ref="E112:K113"/>
    <mergeCell ref="E115:K115"/>
    <mergeCell ref="L115:P115"/>
    <mergeCell ref="E116:K116"/>
    <mergeCell ref="L116:P116"/>
    <mergeCell ref="E117:K117"/>
    <mergeCell ref="L117:P117"/>
    <mergeCell ref="T101:Y101"/>
    <mergeCell ref="T102:Y102"/>
    <mergeCell ref="T103:Y103"/>
    <mergeCell ref="T104:Y104"/>
    <mergeCell ref="T105:Y105"/>
    <mergeCell ref="E100:K100"/>
    <mergeCell ref="L100:P100"/>
    <mergeCell ref="T100:Y100"/>
    <mergeCell ref="E101:K101"/>
    <mergeCell ref="L101:P101"/>
    <mergeCell ref="E102:K102"/>
    <mergeCell ref="L102:P102"/>
    <mergeCell ref="E103:K103"/>
    <mergeCell ref="L103:P103"/>
    <mergeCell ref="E104:K104"/>
    <mergeCell ref="L104:P104"/>
    <mergeCell ref="L105:P105"/>
    <mergeCell ref="A106:A107"/>
    <mergeCell ref="B106:D106"/>
    <mergeCell ref="L106:P107"/>
    <mergeCell ref="T118:Y118"/>
    <mergeCell ref="L110:P110"/>
    <mergeCell ref="L111:P111"/>
    <mergeCell ref="T111:Y111"/>
    <mergeCell ref="L112:P113"/>
    <mergeCell ref="Q112:S112"/>
    <mergeCell ref="T112:Y113"/>
    <mergeCell ref="A114:Y114"/>
    <mergeCell ref="E105:K105"/>
    <mergeCell ref="E106:K107"/>
    <mergeCell ref="E109:K109"/>
    <mergeCell ref="E110:K110"/>
    <mergeCell ref="E111:K111"/>
    <mergeCell ref="A112:A113"/>
    <mergeCell ref="B112:D112"/>
    <mergeCell ref="Q106:S106"/>
    <mergeCell ref="T106:Y107"/>
    <mergeCell ref="A108:Y108"/>
    <mergeCell ref="L109:P109"/>
    <mergeCell ref="T109:Y109"/>
    <mergeCell ref="T110:Y110"/>
    <mergeCell ref="T115:Y115"/>
    <mergeCell ref="T116:Y116"/>
    <mergeCell ref="T117:Y117"/>
    <mergeCell ref="E138:K138"/>
    <mergeCell ref="L138:P138"/>
    <mergeCell ref="E139:K139"/>
    <mergeCell ref="E132:K133"/>
    <mergeCell ref="E135:K135"/>
    <mergeCell ref="L135:P135"/>
    <mergeCell ref="E136:K136"/>
    <mergeCell ref="L136:P136"/>
    <mergeCell ref="E137:K137"/>
    <mergeCell ref="L137:P137"/>
    <mergeCell ref="A134:Y134"/>
    <mergeCell ref="B141:C141"/>
    <mergeCell ref="D141:D142"/>
    <mergeCell ref="E143:K143"/>
    <mergeCell ref="L143:O143"/>
    <mergeCell ref="S143:Y143"/>
    <mergeCell ref="L144:O144"/>
    <mergeCell ref="S144:Y144"/>
    <mergeCell ref="E144:K144"/>
    <mergeCell ref="E145:K145"/>
    <mergeCell ref="L145:O145"/>
    <mergeCell ref="S145:Y145"/>
    <mergeCell ref="A149:K149"/>
    <mergeCell ref="L149:O149"/>
    <mergeCell ref="T149:Y149"/>
    <mergeCell ref="A150:Y150"/>
    <mergeCell ref="A151:A152"/>
    <mergeCell ref="B151:C151"/>
    <mergeCell ref="D151:D152"/>
    <mergeCell ref="S151:Y152"/>
    <mergeCell ref="E146:K146"/>
    <mergeCell ref="L146:O146"/>
    <mergeCell ref="S146:Y146"/>
    <mergeCell ref="S147:S148"/>
    <mergeCell ref="T147:Y148"/>
    <mergeCell ref="A147:A148"/>
    <mergeCell ref="B147:B148"/>
    <mergeCell ref="C147:C148"/>
    <mergeCell ref="D147:D148"/>
    <mergeCell ref="E147:K148"/>
    <mergeCell ref="L147:O148"/>
    <mergeCell ref="P147:R147"/>
    <mergeCell ref="S154:Y154"/>
    <mergeCell ref="S155:Y155"/>
    <mergeCell ref="P151:Q151"/>
    <mergeCell ref="R151:R152"/>
    <mergeCell ref="A153:Y153"/>
    <mergeCell ref="E154:K154"/>
    <mergeCell ref="L154:O154"/>
    <mergeCell ref="E155:K155"/>
    <mergeCell ref="L155:O155"/>
    <mergeCell ref="E151:K152"/>
    <mergeCell ref="L151:O152"/>
    <mergeCell ref="J202:K202"/>
    <mergeCell ref="D204:K205"/>
    <mergeCell ref="L204:O205"/>
    <mergeCell ref="L207:O207"/>
    <mergeCell ref="P207:Q207"/>
    <mergeCell ref="R207:Y210"/>
    <mergeCell ref="L208:O208"/>
    <mergeCell ref="P208:Q208"/>
    <mergeCell ref="L209:O209"/>
    <mergeCell ref="P209:Q209"/>
    <mergeCell ref="L210:O210"/>
    <mergeCell ref="P210:Q210"/>
    <mergeCell ref="P204:Q205"/>
    <mergeCell ref="D207:K210"/>
    <mergeCell ref="A198:A200"/>
    <mergeCell ref="B198:I198"/>
    <mergeCell ref="J198:K200"/>
    <mergeCell ref="L198:Y200"/>
    <mergeCell ref="B199:C199"/>
    <mergeCell ref="D199:E199"/>
    <mergeCell ref="F199:G199"/>
    <mergeCell ref="H199:I199"/>
    <mergeCell ref="L213:P214"/>
    <mergeCell ref="Q213:S213"/>
    <mergeCell ref="T213:Y214"/>
    <mergeCell ref="A201:Y201"/>
    <mergeCell ref="L202:Y202"/>
    <mergeCell ref="A203:Y203"/>
    <mergeCell ref="R204:Y205"/>
    <mergeCell ref="A206:K206"/>
    <mergeCell ref="L206:V206"/>
    <mergeCell ref="A204:A205"/>
    <mergeCell ref="B204:C205"/>
    <mergeCell ref="B207:C207"/>
    <mergeCell ref="B208:C208"/>
    <mergeCell ref="B209:C209"/>
    <mergeCell ref="D211:K211"/>
    <mergeCell ref="L211:O211"/>
    <mergeCell ref="L216:P216"/>
    <mergeCell ref="L217:P217"/>
    <mergeCell ref="T217:Y217"/>
    <mergeCell ref="L218:Y218"/>
    <mergeCell ref="B210:C210"/>
    <mergeCell ref="B211:C211"/>
    <mergeCell ref="A213:A214"/>
    <mergeCell ref="B213:D213"/>
    <mergeCell ref="E213:K214"/>
    <mergeCell ref="A215:K215"/>
    <mergeCell ref="E216:K216"/>
    <mergeCell ref="E217:K217"/>
    <mergeCell ref="E218:K218"/>
    <mergeCell ref="L215:Y215"/>
    <mergeCell ref="T216:Y216"/>
    <mergeCell ref="P211:Q211"/>
    <mergeCell ref="R211:Y211"/>
    <mergeCell ref="A212:Y212"/>
    <mergeCell ref="A219:A220"/>
    <mergeCell ref="B219:D219"/>
    <mergeCell ref="L219:P220"/>
    <mergeCell ref="Q219:S219"/>
    <mergeCell ref="T219:Y220"/>
    <mergeCell ref="E219:K220"/>
    <mergeCell ref="A221:Y221"/>
    <mergeCell ref="E222:K222"/>
    <mergeCell ref="L222:P222"/>
    <mergeCell ref="T222:Y222"/>
    <mergeCell ref="L223:P223"/>
    <mergeCell ref="T223:Y223"/>
    <mergeCell ref="E223:K223"/>
    <mergeCell ref="E224:K224"/>
    <mergeCell ref="L224:P224"/>
    <mergeCell ref="T224:Y224"/>
    <mergeCell ref="E225:K225"/>
    <mergeCell ref="L225:P225"/>
    <mergeCell ref="T225:Y225"/>
    <mergeCell ref="E226:K226"/>
    <mergeCell ref="L226:Y226"/>
    <mergeCell ref="A227:A228"/>
    <mergeCell ref="B227:D227"/>
    <mergeCell ref="L227:P228"/>
    <mergeCell ref="Q227:S227"/>
    <mergeCell ref="T227:Y228"/>
    <mergeCell ref="E227:K228"/>
    <mergeCell ref="A229:Y229"/>
    <mergeCell ref="E230:K230"/>
    <mergeCell ref="L230:P230"/>
    <mergeCell ref="T230:Y230"/>
    <mergeCell ref="L231:P231"/>
    <mergeCell ref="T231:Y231"/>
    <mergeCell ref="L232:Y232"/>
    <mergeCell ref="E231:K231"/>
    <mergeCell ref="E232:K232"/>
    <mergeCell ref="A233:A234"/>
    <mergeCell ref="B233:D233"/>
    <mergeCell ref="L233:P234"/>
    <mergeCell ref="Q233:S233"/>
    <mergeCell ref="T233:Y234"/>
    <mergeCell ref="E233:K234"/>
    <mergeCell ref="A235:Y235"/>
    <mergeCell ref="E236:K236"/>
    <mergeCell ref="L236:Y236"/>
    <mergeCell ref="E237:K237"/>
    <mergeCell ref="L237:Y237"/>
    <mergeCell ref="A238:Y238"/>
    <mergeCell ref="F256:K256"/>
    <mergeCell ref="F257:K257"/>
    <mergeCell ref="F248:K249"/>
    <mergeCell ref="F250:K250"/>
    <mergeCell ref="F251:K251"/>
    <mergeCell ref="F252:K252"/>
    <mergeCell ref="F253:K253"/>
    <mergeCell ref="F254:K254"/>
    <mergeCell ref="F255:K255"/>
    <mergeCell ref="T240:Y240"/>
    <mergeCell ref="T241:Y241"/>
    <mergeCell ref="T242:Y242"/>
    <mergeCell ref="T243:Y243"/>
    <mergeCell ref="T244:Y244"/>
    <mergeCell ref="T245:Y245"/>
    <mergeCell ref="T246:Y246"/>
    <mergeCell ref="E239:K239"/>
    <mergeCell ref="L239:P239"/>
    <mergeCell ref="T239:Y239"/>
    <mergeCell ref="E240:K240"/>
    <mergeCell ref="L240:P240"/>
    <mergeCell ref="E241:K241"/>
    <mergeCell ref="L241:P241"/>
    <mergeCell ref="E242:K242"/>
    <mergeCell ref="L242:P242"/>
    <mergeCell ref="E243:K243"/>
    <mergeCell ref="L243:P243"/>
    <mergeCell ref="E244:K244"/>
    <mergeCell ref="L244:P244"/>
    <mergeCell ref="L245:P245"/>
    <mergeCell ref="E245:K245"/>
    <mergeCell ref="E246:K246"/>
    <mergeCell ref="L246:P246"/>
    <mergeCell ref="A247:Y247"/>
    <mergeCell ref="A248:A249"/>
    <mergeCell ref="B248:E248"/>
    <mergeCell ref="T248:Y249"/>
    <mergeCell ref="T253:Y253"/>
    <mergeCell ref="T254:Y254"/>
    <mergeCell ref="T255:Y255"/>
    <mergeCell ref="L256:Y265"/>
    <mergeCell ref="L248:P249"/>
    <mergeCell ref="Q248:S248"/>
    <mergeCell ref="L250:P250"/>
    <mergeCell ref="T250:Y250"/>
    <mergeCell ref="L251:P251"/>
    <mergeCell ref="T251:Y251"/>
    <mergeCell ref="T252:Y252"/>
    <mergeCell ref="F260:K260"/>
    <mergeCell ref="F261:K261"/>
    <mergeCell ref="F262:K262"/>
    <mergeCell ref="F263:K263"/>
    <mergeCell ref="F264:K264"/>
    <mergeCell ref="F265:K265"/>
    <mergeCell ref="L252:P252"/>
    <mergeCell ref="L253:P253"/>
    <mergeCell ref="L254:P254"/>
    <mergeCell ref="L255:P255"/>
    <mergeCell ref="D258:E258"/>
    <mergeCell ref="F258:K258"/>
    <mergeCell ref="F259:K259"/>
    <mergeCell ref="E141:K142"/>
    <mergeCell ref="L141:O142"/>
    <mergeCell ref="P141:Q141"/>
    <mergeCell ref="R141:R142"/>
    <mergeCell ref="T135:Y135"/>
    <mergeCell ref="T136:Y136"/>
    <mergeCell ref="T137:Y137"/>
    <mergeCell ref="T138:Y138"/>
    <mergeCell ref="L139:Y139"/>
    <mergeCell ref="A140:Y140"/>
    <mergeCell ref="A141:A142"/>
    <mergeCell ref="S141:Y142"/>
    <mergeCell ref="S157:Y157"/>
    <mergeCell ref="S158:Y158"/>
    <mergeCell ref="E156:K156"/>
    <mergeCell ref="L156:O156"/>
    <mergeCell ref="S156:Y156"/>
    <mergeCell ref="E157:K157"/>
    <mergeCell ref="L157:O157"/>
    <mergeCell ref="E158:K158"/>
    <mergeCell ref="L158:O158"/>
    <mergeCell ref="E159:K160"/>
    <mergeCell ref="E161:K161"/>
    <mergeCell ref="L161:O161"/>
    <mergeCell ref="E162:K162"/>
    <mergeCell ref="L162:O162"/>
    <mergeCell ref="A159:A160"/>
    <mergeCell ref="B159:C159"/>
    <mergeCell ref="D159:D160"/>
    <mergeCell ref="L159:O160"/>
    <mergeCell ref="P159:Q159"/>
    <mergeCell ref="R159:R160"/>
    <mergeCell ref="S159:Y160"/>
    <mergeCell ref="A119:A120"/>
    <mergeCell ref="B119:D119"/>
    <mergeCell ref="E119:K120"/>
    <mergeCell ref="L119:P120"/>
    <mergeCell ref="Q119:S119"/>
    <mergeCell ref="T119:Y120"/>
    <mergeCell ref="L121:Y122"/>
    <mergeCell ref="T125:Y125"/>
    <mergeCell ref="T126:Y126"/>
    <mergeCell ref="T127:Y127"/>
    <mergeCell ref="T128:Y128"/>
    <mergeCell ref="T129:Y129"/>
    <mergeCell ref="T130:Y130"/>
    <mergeCell ref="E121:K121"/>
    <mergeCell ref="E122:K122"/>
    <mergeCell ref="A123:A124"/>
    <mergeCell ref="B123:D123"/>
    <mergeCell ref="L123:P124"/>
    <mergeCell ref="Q123:S123"/>
    <mergeCell ref="T123:Y124"/>
    <mergeCell ref="E123:K124"/>
    <mergeCell ref="E125:K125"/>
    <mergeCell ref="L125:P125"/>
    <mergeCell ref="E126:K126"/>
    <mergeCell ref="L126:P126"/>
    <mergeCell ref="E127:K127"/>
    <mergeCell ref="L127:P127"/>
    <mergeCell ref="E128:K128"/>
    <mergeCell ref="L128:P128"/>
    <mergeCell ref="E129:K129"/>
    <mergeCell ref="L129:P129"/>
    <mergeCell ref="E130:K130"/>
    <mergeCell ref="L130:P130"/>
    <mergeCell ref="L131:Y131"/>
    <mergeCell ref="E131:K131"/>
    <mergeCell ref="A132:A133"/>
    <mergeCell ref="B132:D132"/>
    <mergeCell ref="L132:P133"/>
    <mergeCell ref="Q132:S132"/>
    <mergeCell ref="T132:Y133"/>
    <mergeCell ref="S161:Y161"/>
    <mergeCell ref="S162:Y162"/>
    <mergeCell ref="A163:K163"/>
    <mergeCell ref="L163:Y163"/>
    <mergeCell ref="E164:K164"/>
    <mergeCell ref="L164:O164"/>
    <mergeCell ref="S164:Y164"/>
    <mergeCell ref="E179:K180"/>
    <mergeCell ref="L179:O180"/>
    <mergeCell ref="P179:Q179"/>
    <mergeCell ref="R179:R180"/>
    <mergeCell ref="S179:Y180"/>
    <mergeCell ref="E165:K165"/>
    <mergeCell ref="L165:O165"/>
    <mergeCell ref="S165:Y165"/>
    <mergeCell ref="L170:O170"/>
    <mergeCell ref="L171:O171"/>
    <mergeCell ref="E171:K171"/>
    <mergeCell ref="A172:A173"/>
    <mergeCell ref="B172:C172"/>
    <mergeCell ref="D172:D173"/>
    <mergeCell ref="L172:O173"/>
    <mergeCell ref="P172:Q172"/>
    <mergeCell ref="R172:R173"/>
    <mergeCell ref="A179:A180"/>
    <mergeCell ref="B179:C179"/>
    <mergeCell ref="D179:D180"/>
    <mergeCell ref="S166:Y166"/>
    <mergeCell ref="S167:Y167"/>
    <mergeCell ref="S168:Y168"/>
    <mergeCell ref="S169:Y169"/>
    <mergeCell ref="S170:Y170"/>
    <mergeCell ref="S171:Y171"/>
    <mergeCell ref="S172:Y173"/>
    <mergeCell ref="E166:K166"/>
    <mergeCell ref="L166:O166"/>
    <mergeCell ref="E167:K167"/>
    <mergeCell ref="L167:O167"/>
    <mergeCell ref="E168:K168"/>
    <mergeCell ref="L168:O168"/>
    <mergeCell ref="E169:K169"/>
    <mergeCell ref="L169:O169"/>
    <mergeCell ref="E170:K170"/>
    <mergeCell ref="S175:Y175"/>
    <mergeCell ref="S176:Y176"/>
    <mergeCell ref="S177:Y177"/>
    <mergeCell ref="S178:Y178"/>
    <mergeCell ref="E172:K173"/>
    <mergeCell ref="A174:K174"/>
    <mergeCell ref="L174:Y174"/>
    <mergeCell ref="E175:K175"/>
    <mergeCell ref="L175:O175"/>
    <mergeCell ref="E176:K176"/>
    <mergeCell ref="L176:O176"/>
    <mergeCell ref="E177:K177"/>
    <mergeCell ref="L177:O177"/>
    <mergeCell ref="A178:K178"/>
    <mergeCell ref="L178:O178"/>
    <mergeCell ref="A181:K181"/>
    <mergeCell ref="E182:K182"/>
    <mergeCell ref="L182:O182"/>
    <mergeCell ref="S182:Y182"/>
    <mergeCell ref="E183:K183"/>
    <mergeCell ref="L183:O183"/>
    <mergeCell ref="S183:Y183"/>
    <mergeCell ref="S185:Y185"/>
    <mergeCell ref="S186:Y186"/>
    <mergeCell ref="L181:Y181"/>
    <mergeCell ref="S187:Y187"/>
    <mergeCell ref="E184:K184"/>
    <mergeCell ref="L184:O184"/>
    <mergeCell ref="S184:Y184"/>
    <mergeCell ref="E185:K185"/>
    <mergeCell ref="L185:O185"/>
    <mergeCell ref="E186:K186"/>
    <mergeCell ref="L186:O186"/>
    <mergeCell ref="P188:Q188"/>
    <mergeCell ref="R188:R189"/>
    <mergeCell ref="S188:Y189"/>
    <mergeCell ref="E187:K187"/>
    <mergeCell ref="L187:O187"/>
    <mergeCell ref="A188:A189"/>
    <mergeCell ref="B188:C188"/>
    <mergeCell ref="D188:D189"/>
    <mergeCell ref="E188:K189"/>
    <mergeCell ref="L188:O189"/>
    <mergeCell ref="S191:Y191"/>
    <mergeCell ref="S192:Y192"/>
    <mergeCell ref="S193:Y193"/>
    <mergeCell ref="S194:Y194"/>
    <mergeCell ref="S195:Y195"/>
    <mergeCell ref="S196:Y196"/>
    <mergeCell ref="S197:Y197"/>
    <mergeCell ref="E190:K190"/>
    <mergeCell ref="L190:O190"/>
    <mergeCell ref="S190:Y190"/>
    <mergeCell ref="E191:K191"/>
    <mergeCell ref="L191:O191"/>
    <mergeCell ref="E192:K192"/>
    <mergeCell ref="L192:O192"/>
    <mergeCell ref="E193:K193"/>
    <mergeCell ref="L193:O193"/>
    <mergeCell ref="E194:K194"/>
    <mergeCell ref="L194:O194"/>
    <mergeCell ref="E195:K195"/>
    <mergeCell ref="L195:O195"/>
    <mergeCell ref="L196:O196"/>
    <mergeCell ref="E196:K196"/>
    <mergeCell ref="A197:K197"/>
    <mergeCell ref="L197:O197"/>
  </mergeCells>
  <printOptions horizontalCentered="1"/>
  <pageMargins left="0" right="0" top="0" bottom="0" header="0" footer="0"/>
  <pageSetup paperSize="14" scale="78" fitToHeight="0" orientation="landscape" r:id="rId1"/>
  <rowBreaks count="7" manualBreakCount="7">
    <brk id="178" man="1"/>
    <brk id="149" man="1"/>
    <brk id="118" man="1"/>
    <brk id="232" man="1"/>
    <brk id="202" man="1"/>
    <brk id="43" man="1"/>
    <brk id="7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M1_All 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CJAlcaraz</dc:creator>
  <cp:lastModifiedBy>GT CESU Main</cp:lastModifiedBy>
  <cp:lastPrinted>2026-01-27T08:45:37Z</cp:lastPrinted>
  <dcterms:created xsi:type="dcterms:W3CDTF">2025-08-05T08:58:24Z</dcterms:created>
  <dcterms:modified xsi:type="dcterms:W3CDTF">2026-03-18T03:39:53Z</dcterms:modified>
</cp:coreProperties>
</file>