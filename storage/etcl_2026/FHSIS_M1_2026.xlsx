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cesu\storage\etcl_2026\"/>
    </mc:Choice>
  </mc:AlternateContent>
  <xr:revisionPtr revIDLastSave="0" documentId="13_ncr:1_{43DCFFD6-1917-4A05-B758-8ECE2C486BE4}" xr6:coauthVersionLast="47" xr6:coauthVersionMax="47" xr10:uidLastSave="{00000000-0000-0000-0000-000000000000}"/>
  <bookViews>
    <workbookView xWindow="-120" yWindow="-120" windowWidth="29040" windowHeight="15720" tabRatio="950" xr2:uid="{00000000-000D-0000-FFFF-FFFF00000000}"/>
  </bookViews>
  <sheets>
    <sheet name="M1_All Programs" sheetId="4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43" l="1"/>
  <c r="C77" i="43"/>
  <c r="B77" i="43"/>
  <c r="D74" i="43"/>
  <c r="C74" i="43"/>
  <c r="B74" i="43"/>
  <c r="R64" i="43"/>
  <c r="Q64" i="43"/>
  <c r="S58" i="43"/>
  <c r="R58" i="43"/>
  <c r="T58" i="43" s="1"/>
  <c r="Q58" i="43"/>
  <c r="D66" i="43"/>
  <c r="C66" i="43"/>
  <c r="B66" i="43"/>
  <c r="D63" i="43"/>
  <c r="C63" i="43"/>
  <c r="E63" i="43" s="1"/>
  <c r="B63" i="43"/>
  <c r="D59" i="43"/>
  <c r="C59" i="43"/>
  <c r="E59" i="43" s="1"/>
  <c r="B59" i="43"/>
  <c r="D43" i="43"/>
  <c r="C43" i="43"/>
  <c r="B43" i="43"/>
  <c r="D40" i="43"/>
  <c r="C40" i="43"/>
  <c r="B40" i="43"/>
  <c r="T33" i="43"/>
  <c r="S33" i="43"/>
  <c r="R33" i="43"/>
  <c r="T32" i="43"/>
  <c r="S32" i="43"/>
  <c r="R32" i="43"/>
  <c r="T31" i="43"/>
  <c r="S31" i="43"/>
  <c r="R31" i="43"/>
  <c r="T30" i="43"/>
  <c r="S30" i="43"/>
  <c r="R30" i="43"/>
  <c r="T29" i="43"/>
  <c r="S29" i="43"/>
  <c r="R29" i="43"/>
  <c r="U29" i="43" s="1"/>
  <c r="T28" i="43"/>
  <c r="T26" i="43" s="1"/>
  <c r="S28" i="43"/>
  <c r="R28" i="43"/>
  <c r="T27" i="43"/>
  <c r="S27" i="43"/>
  <c r="R27" i="43"/>
  <c r="T25" i="43"/>
  <c r="T24" i="43"/>
  <c r="U24" i="43" s="1"/>
  <c r="S25" i="43"/>
  <c r="S24" i="43"/>
  <c r="R25" i="43"/>
  <c r="R24" i="43"/>
  <c r="T22" i="43"/>
  <c r="T21" i="43"/>
  <c r="T20" i="43"/>
  <c r="T19" i="43" s="1"/>
  <c r="S22" i="43"/>
  <c r="U22" i="43" s="1"/>
  <c r="S21" i="43"/>
  <c r="S20" i="43"/>
  <c r="R22" i="43"/>
  <c r="R21" i="43"/>
  <c r="R20" i="43"/>
  <c r="T18" i="43"/>
  <c r="S18" i="43"/>
  <c r="R18" i="43"/>
  <c r="T17" i="43"/>
  <c r="S17" i="43"/>
  <c r="R17" i="43"/>
  <c r="T16" i="43"/>
  <c r="S16" i="43"/>
  <c r="R16" i="43"/>
  <c r="U16" i="43" s="1"/>
  <c r="S129" i="43"/>
  <c r="S128" i="43"/>
  <c r="S127" i="43"/>
  <c r="S126" i="43"/>
  <c r="S125" i="43"/>
  <c r="S124" i="43"/>
  <c r="D130" i="43"/>
  <c r="D129" i="43"/>
  <c r="D128" i="43"/>
  <c r="D127" i="43"/>
  <c r="D126" i="43"/>
  <c r="D125" i="43"/>
  <c r="D124" i="43"/>
  <c r="S121" i="43"/>
  <c r="S120" i="43"/>
  <c r="S119" i="43"/>
  <c r="S118" i="43"/>
  <c r="S117" i="43"/>
  <c r="S116" i="43"/>
  <c r="S115" i="43"/>
  <c r="S114" i="43"/>
  <c r="S113" i="43"/>
  <c r="S112" i="43"/>
  <c r="S109" i="43"/>
  <c r="S108" i="43"/>
  <c r="S107" i="43"/>
  <c r="S103" i="43"/>
  <c r="S102" i="43"/>
  <c r="S101" i="43"/>
  <c r="S100" i="43"/>
  <c r="S99" i="43"/>
  <c r="S98" i="43"/>
  <c r="S97" i="43"/>
  <c r="S96" i="43"/>
  <c r="S93" i="43"/>
  <c r="S92" i="43"/>
  <c r="S91" i="43"/>
  <c r="S90" i="43"/>
  <c r="S89" i="43"/>
  <c r="S88" i="43"/>
  <c r="S87" i="43"/>
  <c r="S86" i="43"/>
  <c r="D122" i="43"/>
  <c r="D121" i="43"/>
  <c r="D120" i="43"/>
  <c r="D119" i="43"/>
  <c r="D118" i="43"/>
  <c r="D117" i="43"/>
  <c r="D116" i="43"/>
  <c r="D115" i="43"/>
  <c r="D114" i="43"/>
  <c r="D113" i="43"/>
  <c r="D112" i="43"/>
  <c r="D110" i="43"/>
  <c r="D109" i="43"/>
  <c r="D108" i="43"/>
  <c r="D107" i="43"/>
  <c r="D103" i="43"/>
  <c r="D102" i="43"/>
  <c r="D101" i="43"/>
  <c r="D100" i="43"/>
  <c r="D99" i="43"/>
  <c r="D98" i="43"/>
  <c r="D97" i="43"/>
  <c r="D96" i="43"/>
  <c r="D94" i="43"/>
  <c r="D93" i="43"/>
  <c r="D92" i="43"/>
  <c r="D91" i="43"/>
  <c r="D90" i="43"/>
  <c r="D89" i="43"/>
  <c r="D88" i="43"/>
  <c r="D87" i="43"/>
  <c r="D86" i="43"/>
  <c r="T78" i="43"/>
  <c r="T77" i="43"/>
  <c r="T75" i="43"/>
  <c r="T74" i="43"/>
  <c r="E80" i="43"/>
  <c r="E79" i="43"/>
  <c r="E78" i="43"/>
  <c r="E76" i="43"/>
  <c r="E75" i="43"/>
  <c r="E74" i="43"/>
  <c r="S67" i="43"/>
  <c r="S66" i="43"/>
  <c r="S65" i="43"/>
  <c r="S64" i="43"/>
  <c r="T62" i="43"/>
  <c r="T61" i="43"/>
  <c r="T60" i="43"/>
  <c r="T59" i="43"/>
  <c r="E69" i="43"/>
  <c r="E68" i="43"/>
  <c r="E67" i="43"/>
  <c r="E66" i="43"/>
  <c r="E65" i="43"/>
  <c r="E64" i="43"/>
  <c r="E62" i="43"/>
  <c r="E61" i="43"/>
  <c r="E60" i="43"/>
  <c r="E58" i="43"/>
  <c r="T56" i="43"/>
  <c r="T55" i="43"/>
  <c r="T54" i="43"/>
  <c r="E54" i="43"/>
  <c r="E50" i="43"/>
  <c r="E49" i="43"/>
  <c r="E48" i="43"/>
  <c r="T50" i="43"/>
  <c r="T48" i="43"/>
  <c r="T47" i="43"/>
  <c r="T45" i="43"/>
  <c r="T44" i="43"/>
  <c r="T42" i="43"/>
  <c r="T41" i="43"/>
  <c r="T40" i="43"/>
  <c r="E46" i="43"/>
  <c r="E45" i="43"/>
  <c r="E44" i="43"/>
  <c r="E43" i="43"/>
  <c r="E42" i="43"/>
  <c r="E41" i="43"/>
  <c r="E40" i="43"/>
  <c r="Y34" i="43"/>
  <c r="X34" i="43"/>
  <c r="W34" i="43"/>
  <c r="V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X26" i="43"/>
  <c r="W26" i="43"/>
  <c r="V26" i="43"/>
  <c r="S26" i="43"/>
  <c r="R26" i="43"/>
  <c r="P26" i="43"/>
  <c r="O26" i="43"/>
  <c r="N26" i="43"/>
  <c r="Q26" i="43" s="1"/>
  <c r="L26" i="43"/>
  <c r="K26" i="43"/>
  <c r="J26" i="43"/>
  <c r="H26" i="43"/>
  <c r="G26" i="43"/>
  <c r="F26" i="43"/>
  <c r="X23" i="43"/>
  <c r="W23" i="43"/>
  <c r="V23" i="43"/>
  <c r="Y23" i="43" s="1"/>
  <c r="S23" i="43"/>
  <c r="P23" i="43"/>
  <c r="O23" i="43"/>
  <c r="N23" i="43"/>
  <c r="L23" i="43"/>
  <c r="K23" i="43"/>
  <c r="J23" i="43"/>
  <c r="M23" i="43" s="1"/>
  <c r="H23" i="43"/>
  <c r="G23" i="43"/>
  <c r="F23" i="43"/>
  <c r="I23" i="43" s="1"/>
  <c r="X19" i="43"/>
  <c r="W19" i="43"/>
  <c r="V19" i="43"/>
  <c r="Y19" i="43" s="1"/>
  <c r="S19" i="43"/>
  <c r="R19" i="43"/>
  <c r="P19" i="43"/>
  <c r="O19" i="43"/>
  <c r="N19" i="43"/>
  <c r="Q19" i="43" s="1"/>
  <c r="L19" i="43"/>
  <c r="K19" i="43"/>
  <c r="J19" i="43"/>
  <c r="H19" i="43"/>
  <c r="G19" i="43"/>
  <c r="F19" i="43"/>
  <c r="I19" i="43" s="1"/>
  <c r="Y33" i="43"/>
  <c r="Y32" i="43"/>
  <c r="Y31" i="43"/>
  <c r="Y30" i="43"/>
  <c r="Y29" i="43"/>
  <c r="Y28" i="43"/>
  <c r="Y27" i="43"/>
  <c r="Y25" i="43"/>
  <c r="Y24" i="43"/>
  <c r="Y22" i="43"/>
  <c r="Y21" i="43"/>
  <c r="Y20" i="43"/>
  <c r="Y18" i="43"/>
  <c r="Y17" i="43"/>
  <c r="U33" i="43"/>
  <c r="U32" i="43"/>
  <c r="U31" i="43"/>
  <c r="U30" i="43"/>
  <c r="U27" i="43"/>
  <c r="U21" i="43"/>
  <c r="U20" i="43"/>
  <c r="U18" i="43"/>
  <c r="U17" i="43"/>
  <c r="Q33" i="43"/>
  <c r="Q32" i="43"/>
  <c r="Q31" i="43"/>
  <c r="Q30" i="43"/>
  <c r="Q29" i="43"/>
  <c r="Q28" i="43"/>
  <c r="Q27" i="43"/>
  <c r="Q25" i="43"/>
  <c r="Q24" i="43"/>
  <c r="Q23" i="43"/>
  <c r="Q22" i="43"/>
  <c r="Q21" i="43"/>
  <c r="Q20" i="43"/>
  <c r="Q18" i="43"/>
  <c r="Q17" i="43"/>
  <c r="M33" i="43"/>
  <c r="M32" i="43"/>
  <c r="M31" i="43"/>
  <c r="M30" i="43"/>
  <c r="M29" i="43"/>
  <c r="M28" i="43"/>
  <c r="M27" i="43"/>
  <c r="M25" i="43"/>
  <c r="M24" i="43"/>
  <c r="M22" i="43"/>
  <c r="M21" i="43"/>
  <c r="M20" i="43"/>
  <c r="M18" i="43"/>
  <c r="M17" i="43"/>
  <c r="I33" i="43"/>
  <c r="I32" i="43"/>
  <c r="I31" i="43"/>
  <c r="I30" i="43"/>
  <c r="I29" i="43"/>
  <c r="I28" i="43"/>
  <c r="I27" i="43"/>
  <c r="I25" i="43"/>
  <c r="I24" i="43"/>
  <c r="I22" i="43"/>
  <c r="I21" i="43"/>
  <c r="I20" i="43"/>
  <c r="I18" i="43"/>
  <c r="I17" i="43"/>
  <c r="Y16" i="43"/>
  <c r="Q16" i="43"/>
  <c r="M16" i="43"/>
  <c r="I16" i="43"/>
  <c r="D26" i="43"/>
  <c r="C26" i="43"/>
  <c r="B26" i="43"/>
  <c r="E26" i="43" s="1"/>
  <c r="D23" i="43"/>
  <c r="C23" i="43"/>
  <c r="B23" i="43"/>
  <c r="E23" i="43" s="1"/>
  <c r="D19" i="43"/>
  <c r="C19" i="43"/>
  <c r="B19" i="43"/>
  <c r="E19" i="43" s="1"/>
  <c r="E33" i="43"/>
  <c r="E32" i="43"/>
  <c r="E31" i="43"/>
  <c r="E30" i="43"/>
  <c r="E29" i="43"/>
  <c r="E28" i="43"/>
  <c r="E27" i="43"/>
  <c r="E25" i="43"/>
  <c r="E24" i="43"/>
  <c r="E22" i="43"/>
  <c r="E21" i="43"/>
  <c r="E20" i="43"/>
  <c r="E18" i="43"/>
  <c r="E17" i="43"/>
  <c r="E16" i="43"/>
  <c r="E77" i="43" l="1"/>
  <c r="U28" i="43"/>
  <c r="U26" i="43"/>
  <c r="T23" i="43"/>
  <c r="T34" i="43"/>
  <c r="U25" i="43"/>
  <c r="R23" i="43"/>
  <c r="U23" i="43" s="1"/>
  <c r="U19" i="43"/>
  <c r="U34" i="43"/>
  <c r="S34" i="43"/>
  <c r="R34" i="43"/>
  <c r="M26" i="43"/>
  <c r="M19" i="43"/>
  <c r="Y26" i="43"/>
  <c r="B34" i="43"/>
  <c r="I26" i="43"/>
</calcChain>
</file>

<file path=xl/sharedStrings.xml><?xml version="1.0" encoding="utf-8"?>
<sst xmlns="http://schemas.openxmlformats.org/spreadsheetml/2006/main" count="893" uniqueCount="641">
  <si>
    <t>Remarks</t>
  </si>
  <si>
    <t>TOTAL</t>
  </si>
  <si>
    <t>10-14</t>
  </si>
  <si>
    <t>15-19</t>
  </si>
  <si>
    <t>20-49</t>
  </si>
  <si>
    <t>1. No. of women of reproductive age (WRA) 15-49 years old who have demand for Family Planning (FP) and currently using, or whose partner is currently using, any modern FP methods</t>
  </si>
  <si>
    <t>3. Condom</t>
  </si>
  <si>
    <t>4. Pills</t>
  </si>
  <si>
    <t xml:space="preserve">     a. Pills-POP</t>
  </si>
  <si>
    <t xml:space="preserve">     b. Pills-COC</t>
  </si>
  <si>
    <t>6. Implant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</si>
  <si>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</si>
  <si>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</si>
  <si>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</si>
  <si>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</si>
  <si>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</si>
  <si>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</si>
  <si>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</si>
  <si>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</si>
  <si>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1. BTL</t>
  </si>
  <si>
    <t>2. NSV</t>
  </si>
  <si>
    <t>5. Injectables (DMPA)</t>
  </si>
  <si>
    <t>Male</t>
  </si>
  <si>
    <t>Female</t>
  </si>
  <si>
    <t>Total</t>
  </si>
  <si>
    <t>2. Postpartum Supplementation</t>
  </si>
  <si>
    <t>POSTPARTUM CARE</t>
  </si>
  <si>
    <t>5. Hep B antigen more than 24 hrs up to 14 days</t>
  </si>
  <si>
    <t>6. DPT-HiB-HepB 1</t>
  </si>
  <si>
    <t>7. DPT-HiB-HepB 2</t>
  </si>
  <si>
    <t>8. DPT-HiB-HepB 3</t>
  </si>
  <si>
    <t>9. OPV 1</t>
  </si>
  <si>
    <t>10. OPV 2</t>
  </si>
  <si>
    <t>11. OPV 3</t>
  </si>
  <si>
    <t>12. IPV 1</t>
  </si>
  <si>
    <t>13. IPV 2</t>
  </si>
  <si>
    <t>14. PCV 1</t>
  </si>
  <si>
    <t>15. PCV 2</t>
  </si>
  <si>
    <t>16. PCV 3</t>
  </si>
  <si>
    <t>17. MMR 1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</si>
  <si>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</si>
  <si>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</si>
  <si>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</si>
  <si>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</si>
  <si>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</si>
  <si>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</si>
  <si>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</si>
  <si>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</si>
  <si>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</si>
  <si>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</si>
  <si>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</si>
  <si>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</si>
  <si>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1. Grade 1 learners given Td</t>
  </si>
  <si>
    <t>4. Grade 7 learners given MR</t>
  </si>
  <si>
    <t>5. HPV 1 (SBI)</t>
  </si>
  <si>
    <t>6. HPV 1 (CBI)</t>
  </si>
  <si>
    <t>7. HPV 2 (CBI)</t>
  </si>
  <si>
    <t>1. Newborns who were initiated on breastfeeding within 1 hour after birth</t>
  </si>
  <si>
    <t>2. Infants born with low birth weight (LBW) given complete Iron supplements</t>
  </si>
  <si>
    <t>7a. Cured</t>
  </si>
  <si>
    <t>7b. Non-cured</t>
  </si>
  <si>
    <t>7c. Defaulted</t>
  </si>
  <si>
    <t>7d. Died</t>
  </si>
  <si>
    <t>8a. Cured</t>
  </si>
  <si>
    <t>8b. Non-cured</t>
  </si>
  <si>
    <t>8c. Defaulted</t>
  </si>
  <si>
    <t>8d. Died</t>
  </si>
  <si>
    <t>1. Sick infants aged 6-11 months old seen</t>
  </si>
  <si>
    <t>1a. Sick infants aged 6-11 months old who received Vitamin A capsule aside from routine supplementation</t>
  </si>
  <si>
    <t>2. Sick infants aged 12-59 months old seen</t>
  </si>
  <si>
    <t>2a. Sick infants aged 12-59 months old who received Vitamin A capsule aside from routine supplementation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</si>
  <si>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</si>
  <si>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</si>
  <si>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</si>
  <si>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</si>
  <si>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</si>
  <si>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t>Indicators</t>
  </si>
  <si>
    <t xml:space="preserve">1. Children protected at birth (CPAB) </t>
  </si>
  <si>
    <t>2. Grade 1 learners given MR</t>
  </si>
  <si>
    <t>3. Grade 7 learners given Td</t>
  </si>
  <si>
    <t>4a. Infants aged 6-11 months old who completed routine MNP supplementation</t>
  </si>
  <si>
    <t>6. Children 0-59 months old SEEN during the reporting period at health facilities</t>
  </si>
  <si>
    <t>B. Rabies</t>
  </si>
  <si>
    <t>1. Category I Rabies exposure</t>
  </si>
  <si>
    <t>2. Category II Rabies exposure</t>
  </si>
  <si>
    <t>4. Category II Rabies exposure who received complete dose of Anti-Rabies Vaccine (ARV)</t>
  </si>
  <si>
    <t>7. Dog-mediated and cat-mediated Rabies exposure</t>
  </si>
  <si>
    <t xml:space="preserve">  7a. Dog</t>
  </si>
  <si>
    <t xml:space="preserve">  7b. Cat</t>
  </si>
  <si>
    <t xml:space="preserve">  7c. Others</t>
  </si>
  <si>
    <t>C. Schistosomiasis</t>
  </si>
  <si>
    <t>1. Patients Seen</t>
  </si>
  <si>
    <t xml:space="preserve">  1a. 1-4 years old</t>
  </si>
  <si>
    <t xml:space="preserve">  1b. 5-14 yrs old </t>
  </si>
  <si>
    <t xml:space="preserve">  1c. 15-19 yrs old</t>
  </si>
  <si>
    <t xml:space="preserve">  1d. 20-59 yrs old</t>
  </si>
  <si>
    <t xml:space="preserve">  1e. 60 yrs old and above</t>
  </si>
  <si>
    <t>2. Clinical/Suspected Schistosomiasis Cases Seen</t>
  </si>
  <si>
    <t xml:space="preserve">  2a. 1-4 years old</t>
  </si>
  <si>
    <t xml:space="preserve">  2b. 5-14 yrs old </t>
  </si>
  <si>
    <t xml:space="preserve">  2c. 15-19 yrs old</t>
  </si>
  <si>
    <t xml:space="preserve">  2d. 20-59 yrs old</t>
  </si>
  <si>
    <t xml:space="preserve">  2e. 60 yrs old and above</t>
  </si>
  <si>
    <t xml:space="preserve">  3a. 5-14 years old</t>
  </si>
  <si>
    <t xml:space="preserve">  3a. 15-19 years old</t>
  </si>
  <si>
    <t xml:space="preserve">  3a. 20-59 years old</t>
  </si>
  <si>
    <t xml:space="preserve">  3a. 60 years old and above</t>
  </si>
  <si>
    <t>D. Soil-Transmitted Helminthiasis</t>
  </si>
  <si>
    <t>1. Screened for STH</t>
  </si>
  <si>
    <t xml:space="preserve">  4b. 5-14 years old</t>
  </si>
  <si>
    <t>E. Leprosy</t>
  </si>
  <si>
    <t xml:space="preserve">  1a. 0-14 years old</t>
  </si>
  <si>
    <t xml:space="preserve">  1b. 15-18 years old</t>
  </si>
  <si>
    <t xml:space="preserve">  1c. 19 years old and above</t>
  </si>
  <si>
    <t xml:space="preserve">  2a. 0-14 years old</t>
  </si>
  <si>
    <t xml:space="preserve">  2b. 15-18 years old</t>
  </si>
  <si>
    <t xml:space="preserve">  2c. 19 years old and above</t>
  </si>
  <si>
    <t xml:space="preserve">  3a. 0-14 years old</t>
  </si>
  <si>
    <t xml:space="preserve">  3b. 15-18 years old</t>
  </si>
  <si>
    <t xml:space="preserve">  3c. 19 years old and above</t>
  </si>
  <si>
    <t xml:space="preserve">  4a. 0-14 years old</t>
  </si>
  <si>
    <t xml:space="preserve">  4b. 15-18 years old</t>
  </si>
  <si>
    <t xml:space="preserve">  4c. 19 years old and above</t>
  </si>
  <si>
    <t>5. No. of confirmed leprosy cases treated</t>
  </si>
  <si>
    <t xml:space="preserve">  5a. 0-14 years old</t>
  </si>
  <si>
    <t xml:space="preserve">  5b. 15-18 years old</t>
  </si>
  <si>
    <t xml:space="preserve">  5c. 19 years old and above</t>
  </si>
  <si>
    <t>6. Newly Detected Cases with Grade 2 Disabilities</t>
  </si>
  <si>
    <t xml:space="preserve">  6a. 0-14 years old</t>
  </si>
  <si>
    <t xml:space="preserve">  6b. 15-18 years old</t>
  </si>
  <si>
    <t xml:space="preserve">  6c. 19 years old and above</t>
  </si>
  <si>
    <t>F. HIV-AIDS/STI</t>
  </si>
  <si>
    <t xml:space="preserve"> 1a. 10-14 years old</t>
  </si>
  <si>
    <t xml:space="preserve"> 1b. 15-19 years old</t>
  </si>
  <si>
    <t xml:space="preserve"> 1c. 20-49 years old</t>
  </si>
  <si>
    <t xml:space="preserve"> 2a. 10-14 years old</t>
  </si>
  <si>
    <t xml:space="preserve"> 2b. 15-19 years old</t>
  </si>
  <si>
    <t xml:space="preserve"> 2c. 20-49 years old</t>
  </si>
  <si>
    <t xml:space="preserve"> 3a. 10-14 years old</t>
  </si>
  <si>
    <t xml:space="preserve"> 3b. 15-19 years old</t>
  </si>
  <si>
    <t xml:space="preserve"> 3c. 20-49 years old</t>
  </si>
  <si>
    <t xml:space="preserve"> 4a. 10-14 years old</t>
  </si>
  <si>
    <t xml:space="preserve"> 4b. 15-19 years old</t>
  </si>
  <si>
    <t xml:space="preserve"> 4c. 20-49 years old</t>
  </si>
  <si>
    <t xml:space="preserve"> 5a. 10-14 years old</t>
  </si>
  <si>
    <t xml:space="preserve"> 5b. 15-19 years old</t>
  </si>
  <si>
    <t xml:space="preserve"> 5c. 20-49 years old</t>
  </si>
  <si>
    <t xml:space="preserve"> 6a. 10-14 years old</t>
  </si>
  <si>
    <t xml:space="preserve"> 6b. 15-19 years old</t>
  </si>
  <si>
    <t xml:space="preserve"> 6c. 20-49 years old</t>
  </si>
  <si>
    <t xml:space="preserve"> 7a. 10-14 years old</t>
  </si>
  <si>
    <t xml:space="preserve"> 7b. 15-19 years old</t>
  </si>
  <si>
    <t xml:space="preserve"> 7c. 20-49 years old</t>
  </si>
  <si>
    <t>a. Senior Citizens screened using the geriatric screening tool</t>
  </si>
  <si>
    <t>b. Senior Citizens with a positive geriatric screening result</t>
  </si>
  <si>
    <t>b1. Memory</t>
  </si>
  <si>
    <t>b2. Depression</t>
  </si>
  <si>
    <t>b3. Polypharmacy</t>
  </si>
  <si>
    <t>b4. Urinary Incontinence</t>
  </si>
  <si>
    <t>b5. Functional Capacity</t>
  </si>
  <si>
    <t>b6. Fall (History and Screening Test)</t>
  </si>
  <si>
    <t>b7. Malnutrition</t>
  </si>
  <si>
    <t>b8. Hearing</t>
  </si>
  <si>
    <t>b9. Vision</t>
  </si>
  <si>
    <t>c. Referred to Appropriate Specialist or Service Providers</t>
  </si>
  <si>
    <t>Part I. Mortality</t>
  </si>
  <si>
    <t>Part II. Natality</t>
  </si>
  <si>
    <t>FHSIS REPORT for the Month __________ Year_____________</t>
  </si>
  <si>
    <t>M1
BRGY</t>
  </si>
  <si>
    <t>Name of Barangay _____________________________________</t>
  </si>
  <si>
    <t>Name of BHS __________________________________________</t>
  </si>
  <si>
    <t>Name of Municipality/City ________________________________</t>
  </si>
  <si>
    <t>Name of Province _______________________________________</t>
  </si>
  <si>
    <t>Projected Population of the Year ___________________________</t>
  </si>
  <si>
    <t>SECTION A. FAMILY PLANNING SERVICES FOR WOMEN OF REPRODUCTIVE AGE</t>
  </si>
  <si>
    <t>Demand Satisfied</t>
  </si>
  <si>
    <t>Age Group</t>
  </si>
  <si>
    <t>Total WRA 15-49 yrs old</t>
  </si>
  <si>
    <t>10-14 yrs old</t>
  </si>
  <si>
    <t>15-19 yrs old</t>
  </si>
  <si>
    <t>20-49 yrs old</t>
  </si>
  <si>
    <t>Modern FP Methods</t>
  </si>
  <si>
    <t>Acceptors</t>
  </si>
  <si>
    <r>
      <rPr>
        <b/>
        <sz val="10"/>
        <color rgb="FFFFFFFF"/>
        <rFont val="Arial"/>
        <family val="2"/>
      </rPr>
      <t xml:space="preserve">Drop-outs
</t>
    </r>
    <r>
      <rPr>
        <sz val="10"/>
        <color rgb="FFFFFFFF"/>
        <rFont val="Arial"/>
        <family val="2"/>
      </rPr>
      <t>(Present Month)</t>
    </r>
  </si>
  <si>
    <t xml:space="preserve">     a. Implants-Interval</t>
  </si>
  <si>
    <t xml:space="preserve">     b. Implants-PP</t>
  </si>
  <si>
    <t>Total Current Users</t>
  </si>
  <si>
    <t>SECTION B. MATERNAL CARE AND SERVICES</t>
  </si>
  <si>
    <t>PRENATAL CARE SERVICES</t>
  </si>
  <si>
    <r>
      <rPr>
        <b/>
        <i/>
        <sz val="10"/>
        <color theme="1"/>
        <rFont val="Arial"/>
        <family val="2"/>
      </rPr>
      <t xml:space="preserve">1. </t>
    </r>
    <r>
      <rPr>
        <b/>
        <i/>
        <u/>
        <sz val="10"/>
        <color theme="1"/>
        <rFont val="Arial"/>
        <family val="2"/>
      </rPr>
      <t>8ANC</t>
    </r>
  </si>
  <si>
    <r>
      <rPr>
        <b/>
        <i/>
        <sz val="10"/>
        <color theme="1"/>
        <rFont val="Arial"/>
        <family val="2"/>
      </rPr>
      <t xml:space="preserve">4. </t>
    </r>
    <r>
      <rPr>
        <b/>
        <i/>
        <u/>
        <sz val="10"/>
        <color theme="1"/>
        <rFont val="Arial"/>
        <family val="2"/>
      </rPr>
      <t>Prenatal Supplementation</t>
    </r>
  </si>
  <si>
    <t>1a. No. of Women who delivered and completed at least 
     8ANC =(a1+a2)</t>
  </si>
  <si>
    <r>
      <rPr>
        <i/>
        <sz val="10"/>
        <color theme="1"/>
        <rFont val="Arial"/>
        <family val="2"/>
      </rPr>
      <t xml:space="preserve">      4a. Number of pregnant women who completed the dose
            of</t>
    </r>
    <r>
      <rPr>
        <b/>
        <i/>
        <sz val="10"/>
        <color theme="1"/>
        <rFont val="Arial"/>
        <family val="2"/>
      </rPr>
      <t xml:space="preserve"> Iron with Folic Acid supplementation</t>
    </r>
  </si>
  <si>
    <r>
      <rPr>
        <i/>
        <sz val="10"/>
        <color theme="1"/>
        <rFont val="Arial"/>
        <family val="2"/>
      </rPr>
      <t xml:space="preserve">        a1. No. of Women who delivered and Provided 1st to 8th
              ANC on schedule </t>
    </r>
    <r>
      <rPr>
        <b/>
        <i/>
        <sz val="10"/>
        <color theme="1"/>
        <rFont val="Arial"/>
        <family val="2"/>
      </rPr>
      <t>(Resident)</t>
    </r>
  </si>
  <si>
    <r>
      <rPr>
        <i/>
        <sz val="10"/>
        <color theme="1"/>
        <rFont val="Arial"/>
        <family val="2"/>
      </rPr>
      <t xml:space="preserve">      4b. No. of pregnant women who completed the dose
</t>
    </r>
    <r>
      <rPr>
        <b/>
        <i/>
        <sz val="10"/>
        <color theme="1"/>
        <rFont val="Arial"/>
        <family val="2"/>
      </rPr>
      <t xml:space="preserve">            Multiple Micronutrient Supplementation</t>
    </r>
  </si>
  <si>
    <r>
      <rPr>
        <i/>
        <sz val="10"/>
        <color theme="1"/>
        <rFont val="Arial"/>
        <family val="2"/>
      </rPr>
      <t xml:space="preserve">        a2. No. of Women who delivered and completed at least
              8ANC</t>
    </r>
    <r>
      <rPr>
        <b/>
        <i/>
        <sz val="10"/>
        <color theme="1"/>
        <rFont val="Arial"/>
        <family val="2"/>
      </rPr>
      <t xml:space="preserve"> TRANS-IN</t>
    </r>
    <r>
      <rPr>
        <i/>
        <sz val="10"/>
        <color theme="1"/>
        <rFont val="Arial"/>
        <family val="2"/>
      </rPr>
      <t xml:space="preserve"> from other LGUs</t>
    </r>
  </si>
  <si>
    <r>
      <rPr>
        <i/>
        <sz val="10"/>
        <color theme="1"/>
        <rFont val="Arial"/>
        <family val="2"/>
      </rPr>
      <t xml:space="preserve">      4c. No. of pregnant women who completed the dose of
</t>
    </r>
    <r>
      <rPr>
        <b/>
        <i/>
        <sz val="10"/>
        <color theme="1"/>
        <rFont val="Arial"/>
        <family val="2"/>
      </rPr>
      <t xml:space="preserve">           Calcium carbonate</t>
    </r>
  </si>
  <si>
    <t>1b. No. of Women who delivered and who were tracked 
      during pregnancy =(b1+b2)</t>
  </si>
  <si>
    <r>
      <rPr>
        <b/>
        <i/>
        <sz val="10"/>
        <color theme="1"/>
        <rFont val="Arial"/>
        <family val="2"/>
      </rPr>
      <t xml:space="preserve">5. </t>
    </r>
    <r>
      <rPr>
        <b/>
        <i/>
        <u/>
        <sz val="10"/>
        <color theme="1"/>
        <rFont val="Arial"/>
        <family val="2"/>
      </rPr>
      <t>Anemia Screening</t>
    </r>
  </si>
  <si>
    <r>
      <rPr>
        <i/>
        <sz val="10"/>
        <color theme="1"/>
        <rFont val="Arial"/>
        <family val="2"/>
      </rPr>
      <t xml:space="preserve">        b1. No. of Women who delivered and who were tracked
              during pregnancy </t>
    </r>
    <r>
      <rPr>
        <b/>
        <i/>
        <sz val="10"/>
        <color theme="1"/>
        <rFont val="Arial"/>
        <family val="2"/>
      </rPr>
      <t>(Resident)</t>
    </r>
  </si>
  <si>
    <r>
      <rPr>
        <i/>
        <sz val="10"/>
        <color theme="1"/>
        <rFont val="Arial"/>
        <family val="2"/>
      </rPr>
      <t xml:space="preserve">      9a. No of pregnant women</t>
    </r>
    <r>
      <rPr>
        <b/>
        <i/>
        <sz val="10"/>
        <color theme="1"/>
        <rFont val="Arial"/>
        <family val="2"/>
      </rPr>
      <t xml:space="preserve"> screened</t>
    </r>
    <r>
      <rPr>
        <i/>
        <sz val="10"/>
        <color theme="1"/>
        <rFont val="Arial"/>
        <family val="2"/>
      </rPr>
      <t xml:space="preserve"> for Anemia</t>
    </r>
  </si>
  <si>
    <r>
      <rPr>
        <i/>
        <sz val="10"/>
        <color theme="1"/>
        <rFont val="Arial"/>
        <family val="2"/>
      </rPr>
      <t xml:space="preserve">        b2. No. of </t>
    </r>
    <r>
      <rPr>
        <b/>
        <i/>
        <sz val="10"/>
        <color theme="1"/>
        <rFont val="Arial"/>
        <family val="2"/>
      </rPr>
      <t>TRANS-IN</t>
    </r>
    <r>
      <rPr>
        <i/>
        <sz val="10"/>
        <color theme="1"/>
        <rFont val="Arial"/>
        <family val="2"/>
      </rPr>
      <t xml:space="preserve"> from other LGUs</t>
    </r>
  </si>
  <si>
    <r>
      <rPr>
        <i/>
        <sz val="10"/>
        <color theme="1"/>
        <rFont val="Arial"/>
        <family val="2"/>
      </rPr>
      <t xml:space="preserve">      9b. No of pregnant women </t>
    </r>
    <r>
      <rPr>
        <b/>
        <i/>
        <sz val="10"/>
        <color theme="1"/>
        <rFont val="Arial"/>
        <family val="2"/>
      </rPr>
      <t>diagnosed</t>
    </r>
    <r>
      <rPr>
        <i/>
        <sz val="10"/>
        <color theme="1"/>
        <rFont val="Arial"/>
        <family val="2"/>
      </rPr>
      <t xml:space="preserve"> with Anemia</t>
    </r>
  </si>
  <si>
    <r>
      <rPr>
        <i/>
        <sz val="10"/>
        <color theme="1"/>
        <rFont val="Arial"/>
        <family val="2"/>
      </rPr>
      <t xml:space="preserve">        b3. No. of </t>
    </r>
    <r>
      <rPr>
        <b/>
        <i/>
        <sz val="10"/>
        <color theme="1"/>
        <rFont val="Arial"/>
        <family val="2"/>
      </rPr>
      <t>TRANS-OUT (with MOV)</t>
    </r>
    <r>
      <rPr>
        <i/>
        <sz val="10"/>
        <color theme="1"/>
        <rFont val="Arial"/>
        <family val="2"/>
      </rPr>
      <t xml:space="preserve"> before completing
             8ANC</t>
    </r>
  </si>
  <si>
    <r>
      <rPr>
        <b/>
        <i/>
        <sz val="10"/>
        <color theme="1"/>
        <rFont val="Arial"/>
        <family val="2"/>
      </rPr>
      <t xml:space="preserve">6. </t>
    </r>
    <r>
      <rPr>
        <b/>
        <i/>
        <u/>
        <sz val="10"/>
        <color theme="1"/>
        <rFont val="Arial"/>
        <family val="2"/>
      </rPr>
      <t>Gestational Diabetes Screening</t>
    </r>
  </si>
  <si>
    <r>
      <rPr>
        <b/>
        <i/>
        <sz val="10"/>
        <color theme="1"/>
        <rFont val="Arial"/>
        <family val="2"/>
      </rPr>
      <t xml:space="preserve">2. </t>
    </r>
    <r>
      <rPr>
        <b/>
        <i/>
        <u/>
        <sz val="10"/>
        <color theme="1"/>
        <rFont val="Arial"/>
        <family val="2"/>
      </rPr>
      <t>No. of pregnant women assessed for nutritional status during the first trimester</t>
    </r>
  </si>
  <si>
    <r>
      <rPr>
        <i/>
        <sz val="10"/>
        <color theme="1"/>
        <rFont val="Arial"/>
        <family val="2"/>
      </rPr>
      <t xml:space="preserve">      6a. No of pregnant women </t>
    </r>
    <r>
      <rPr>
        <b/>
        <i/>
        <sz val="10"/>
        <color theme="1"/>
        <rFont val="Arial"/>
        <family val="2"/>
      </rPr>
      <t>screened</t>
    </r>
    <r>
      <rPr>
        <i/>
        <sz val="10"/>
        <color theme="1"/>
        <rFont val="Arial"/>
        <family val="2"/>
      </rPr>
      <t xml:space="preserve"> for Gestational 
            Diabetes Melitus</t>
    </r>
  </si>
  <si>
    <t xml:space="preserve">        2a. Normal BMI</t>
  </si>
  <si>
    <r>
      <rPr>
        <i/>
        <sz val="10"/>
        <color theme="1"/>
        <rFont val="Arial"/>
        <family val="2"/>
      </rPr>
      <t xml:space="preserve">      6b. No of pregnant women </t>
    </r>
    <r>
      <rPr>
        <b/>
        <i/>
        <sz val="10"/>
        <color theme="1"/>
        <rFont val="Arial"/>
        <family val="2"/>
      </rPr>
      <t>tested positive</t>
    </r>
    <r>
      <rPr>
        <i/>
        <sz val="10"/>
        <color theme="1"/>
        <rFont val="Arial"/>
        <family val="2"/>
      </rPr>
      <t xml:space="preserve"> for Gestational 
            Diabetes Melitus</t>
    </r>
  </si>
  <si>
    <t xml:space="preserve">        2b. Low BMI</t>
  </si>
  <si>
    <r>
      <rPr>
        <b/>
        <i/>
        <sz val="10"/>
        <color theme="1"/>
        <rFont val="Arial"/>
        <family val="2"/>
      </rPr>
      <t xml:space="preserve">7. </t>
    </r>
    <r>
      <rPr>
        <b/>
        <i/>
        <u/>
        <sz val="10"/>
        <color theme="1"/>
        <rFont val="Arial"/>
        <family val="2"/>
      </rPr>
      <t>Deworming</t>
    </r>
  </si>
  <si>
    <t xml:space="preserve">        2c. High BMI</t>
  </si>
  <si>
    <t xml:space="preserve">      5a. No. of pregnant women given one dose of deworming
            tablet</t>
  </si>
  <si>
    <r>
      <rPr>
        <b/>
        <i/>
        <sz val="10"/>
        <color theme="1"/>
        <rFont val="Arial"/>
        <family val="2"/>
      </rPr>
      <t xml:space="preserve">3. </t>
    </r>
    <r>
      <rPr>
        <b/>
        <i/>
        <u/>
        <sz val="10"/>
        <color theme="1"/>
        <rFont val="Arial"/>
        <family val="2"/>
      </rPr>
      <t>Tetanus diphtheria (Td) Containing Vaccination Status</t>
    </r>
  </si>
  <si>
    <r>
      <rPr>
        <b/>
        <i/>
        <sz val="10"/>
        <color theme="1"/>
        <rFont val="Arial"/>
        <family val="2"/>
      </rPr>
      <t xml:space="preserve">8. </t>
    </r>
    <r>
      <rPr>
        <b/>
        <i/>
        <u/>
        <sz val="10"/>
        <color theme="1"/>
        <rFont val="Arial"/>
        <family val="2"/>
      </rPr>
      <t>BP measurement</t>
    </r>
  </si>
  <si>
    <t xml:space="preserve">       3a. Number of women pregnant for the first time given at 
             least 2 doses of Tetanus diphtheria (Td) vaccination</t>
  </si>
  <si>
    <t xml:space="preserve">      8a. No. of pregnant women who had their BP measured during
            each of their antenatal care visit</t>
  </si>
  <si>
    <t xml:space="preserve">      3b. Number of Pregnant Women for the 2nd or more times 
            given at least 3 doses of Td vaccination (Td2 Plus)</t>
  </si>
  <si>
    <t>INTRAPARTUM AND NEWBORN CARE</t>
  </si>
  <si>
    <r>
      <rPr>
        <b/>
        <i/>
        <sz val="10"/>
        <color theme="1"/>
        <rFont val="Arial"/>
        <family val="2"/>
      </rPr>
      <t xml:space="preserve">1. </t>
    </r>
    <r>
      <rPr>
        <b/>
        <i/>
        <u/>
        <sz val="10"/>
        <color theme="1"/>
        <rFont val="Arial"/>
        <family val="2"/>
      </rPr>
      <t>Total Deliveries</t>
    </r>
  </si>
  <si>
    <r>
      <rPr>
        <b/>
        <i/>
        <sz val="10"/>
        <color theme="1"/>
        <rFont val="Arial"/>
        <family val="2"/>
      </rPr>
      <t xml:space="preserve">5. </t>
    </r>
    <r>
      <rPr>
        <b/>
        <i/>
        <u/>
        <sz val="10"/>
        <color theme="1"/>
        <rFont val="Arial"/>
        <family val="2"/>
      </rPr>
      <t>Delivery by Outcome</t>
    </r>
    <r>
      <rPr>
        <b/>
        <i/>
        <sz val="10"/>
        <color theme="1"/>
        <rFont val="Arial"/>
        <family val="2"/>
      </rPr>
      <t xml:space="preserve"> =(5a+5b+5c)</t>
    </r>
  </si>
  <si>
    <r>
      <rPr>
        <i/>
        <sz val="10"/>
        <color theme="1"/>
        <rFont val="Arial"/>
        <family val="2"/>
      </rPr>
      <t xml:space="preserve">      5a. No. of </t>
    </r>
    <r>
      <rPr>
        <b/>
        <i/>
        <sz val="10"/>
        <color theme="1"/>
        <rFont val="Arial"/>
        <family val="2"/>
      </rPr>
      <t xml:space="preserve">Full-Term </t>
    </r>
    <r>
      <rPr>
        <i/>
        <sz val="10"/>
        <color theme="1"/>
        <rFont val="Arial"/>
        <family val="2"/>
      </rPr>
      <t>deliveries</t>
    </r>
  </si>
  <si>
    <t xml:space="preserve">      2a. Physicians</t>
  </si>
  <si>
    <r>
      <rPr>
        <i/>
        <sz val="10"/>
        <color theme="1"/>
        <rFont val="Arial"/>
        <family val="2"/>
      </rPr>
      <t xml:space="preserve">      5b. No. of </t>
    </r>
    <r>
      <rPr>
        <b/>
        <i/>
        <sz val="10"/>
        <color theme="1"/>
        <rFont val="Arial"/>
        <family val="2"/>
      </rPr>
      <t>Pre-Term d</t>
    </r>
    <r>
      <rPr>
        <i/>
        <sz val="10"/>
        <color theme="1"/>
        <rFont val="Arial"/>
        <family val="2"/>
      </rPr>
      <t>eliveries</t>
    </r>
  </si>
  <si>
    <t xml:space="preserve">      2b. Nurses</t>
  </si>
  <si>
    <r>
      <rPr>
        <i/>
        <sz val="10"/>
        <color theme="1"/>
        <rFont val="Arial"/>
        <family val="2"/>
      </rPr>
      <t xml:space="preserve">      5c. No. of </t>
    </r>
    <r>
      <rPr>
        <b/>
        <i/>
        <sz val="10"/>
        <color theme="1"/>
        <rFont val="Arial"/>
        <family val="2"/>
      </rPr>
      <t>Fetal deaths</t>
    </r>
  </si>
  <si>
    <t xml:space="preserve">      2c. Midwives</t>
  </si>
  <si>
    <r>
      <rPr>
        <i/>
        <sz val="10"/>
        <color theme="1"/>
        <rFont val="Arial"/>
        <family val="2"/>
      </rPr>
      <t xml:space="preserve">      5d. No. of  </t>
    </r>
    <r>
      <rPr>
        <b/>
        <i/>
        <sz val="10"/>
        <color theme="1"/>
        <rFont val="Arial"/>
        <family val="2"/>
      </rPr>
      <t>abortion/miscarriage</t>
    </r>
    <r>
      <rPr>
        <i/>
        <sz val="10"/>
        <color theme="1"/>
        <rFont val="Arial"/>
        <family val="2"/>
      </rPr>
      <t xml:space="preserve"> (counts only)</t>
    </r>
  </si>
  <si>
    <r>
      <rPr>
        <b/>
        <i/>
        <sz val="10"/>
        <color theme="1"/>
        <rFont val="Arial"/>
        <family val="2"/>
      </rPr>
      <t xml:space="preserve">3. </t>
    </r>
    <r>
      <rPr>
        <b/>
        <i/>
        <u/>
        <sz val="10"/>
        <color theme="1"/>
        <rFont val="Arial"/>
        <family val="2"/>
      </rPr>
      <t>No. of Facility Based Deliveries (FBD)</t>
    </r>
    <r>
      <rPr>
        <b/>
        <i/>
        <sz val="10"/>
        <color theme="1"/>
        <rFont val="Arial"/>
        <family val="2"/>
      </rPr>
      <t xml:space="preserve"> =(3a+3b)</t>
    </r>
  </si>
  <si>
    <r>
      <rPr>
        <i/>
        <sz val="10"/>
        <color theme="1"/>
        <rFont val="Arial"/>
        <family val="2"/>
      </rPr>
      <t xml:space="preserve">     3a. </t>
    </r>
    <r>
      <rPr>
        <b/>
        <i/>
        <sz val="10"/>
        <color theme="1"/>
        <rFont val="Arial"/>
        <family val="2"/>
      </rPr>
      <t xml:space="preserve">Public </t>
    </r>
    <r>
      <rPr>
        <i/>
        <sz val="10"/>
        <color theme="1"/>
        <rFont val="Arial"/>
        <family val="2"/>
      </rPr>
      <t>facility</t>
    </r>
  </si>
  <si>
    <r>
      <rPr>
        <b/>
        <i/>
        <sz val="10"/>
        <color theme="1"/>
        <rFont val="Arial"/>
        <family val="2"/>
      </rPr>
      <t xml:space="preserve">6. </t>
    </r>
    <r>
      <rPr>
        <b/>
        <i/>
        <u/>
        <sz val="10"/>
        <color theme="1"/>
        <rFont val="Arial"/>
        <family val="2"/>
      </rPr>
      <t>No. of Livebirths by birth weight</t>
    </r>
    <r>
      <rPr>
        <b/>
        <i/>
        <sz val="10"/>
        <color theme="1"/>
        <rFont val="Arial"/>
        <family val="2"/>
      </rPr>
      <t xml:space="preserve"> =(6a+6b+6c)</t>
    </r>
  </si>
  <si>
    <r>
      <rPr>
        <i/>
        <sz val="10"/>
        <color theme="1"/>
        <rFont val="Arial"/>
        <family val="2"/>
      </rPr>
      <t xml:space="preserve">     3b. </t>
    </r>
    <r>
      <rPr>
        <b/>
        <i/>
        <sz val="10"/>
        <color theme="1"/>
        <rFont val="Arial"/>
        <family val="2"/>
      </rPr>
      <t>Private</t>
    </r>
    <r>
      <rPr>
        <i/>
        <sz val="10"/>
        <color theme="1"/>
        <rFont val="Arial"/>
        <family val="2"/>
      </rPr>
      <t xml:space="preserve"> facility</t>
    </r>
  </si>
  <si>
    <r>
      <rPr>
        <i/>
        <sz val="10"/>
        <color theme="1"/>
        <rFont val="Arial"/>
        <family val="2"/>
      </rPr>
      <t xml:space="preserve">      6b. </t>
    </r>
    <r>
      <rPr>
        <b/>
        <i/>
        <sz val="10"/>
        <color theme="1"/>
        <rFont val="Arial"/>
        <family val="2"/>
      </rPr>
      <t>Normal birth</t>
    </r>
    <r>
      <rPr>
        <i/>
        <sz val="10"/>
        <color theme="1"/>
        <rFont val="Arial"/>
        <family val="2"/>
      </rPr>
      <t xml:space="preserve"> weight</t>
    </r>
  </si>
  <si>
    <t>4. Delivery by Type =(4a+4b+4c)</t>
  </si>
  <si>
    <r>
      <rPr>
        <i/>
        <sz val="10"/>
        <color theme="1"/>
        <rFont val="Arial"/>
        <family val="2"/>
      </rPr>
      <t xml:space="preserve">      6c. </t>
    </r>
    <r>
      <rPr>
        <b/>
        <i/>
        <sz val="10"/>
        <color theme="1"/>
        <rFont val="Arial"/>
        <family val="2"/>
      </rPr>
      <t>Low birth</t>
    </r>
    <r>
      <rPr>
        <i/>
        <sz val="10"/>
        <color theme="1"/>
        <rFont val="Arial"/>
        <family val="2"/>
      </rPr>
      <t xml:space="preserve"> weight</t>
    </r>
  </si>
  <si>
    <r>
      <rPr>
        <i/>
        <sz val="10"/>
        <color theme="1"/>
        <rFont val="Arial"/>
        <family val="2"/>
      </rPr>
      <t xml:space="preserve">      4a. No. of  </t>
    </r>
    <r>
      <rPr>
        <b/>
        <i/>
        <sz val="10"/>
        <color theme="1"/>
        <rFont val="Arial"/>
        <family val="2"/>
      </rPr>
      <t>Vaginal deliveires</t>
    </r>
  </si>
  <si>
    <r>
      <rPr>
        <i/>
        <sz val="10"/>
        <color theme="1"/>
        <rFont val="Arial"/>
        <family val="2"/>
      </rPr>
      <t xml:space="preserve">      6d. </t>
    </r>
    <r>
      <rPr>
        <b/>
        <i/>
        <sz val="10"/>
        <color theme="1"/>
        <rFont val="Arial"/>
        <family val="2"/>
      </rPr>
      <t>Unknown birth</t>
    </r>
    <r>
      <rPr>
        <i/>
        <sz val="10"/>
        <color theme="1"/>
        <rFont val="Arial"/>
        <family val="2"/>
      </rPr>
      <t xml:space="preserve"> weight</t>
    </r>
  </si>
  <si>
    <r>
      <rPr>
        <i/>
        <sz val="10"/>
        <color theme="1"/>
        <rFont val="Arial"/>
        <family val="2"/>
      </rPr>
      <t xml:space="preserve">      4b.  No. of </t>
    </r>
    <r>
      <rPr>
        <b/>
        <i/>
        <sz val="10"/>
        <color theme="1"/>
        <rFont val="Arial"/>
        <family val="2"/>
      </rPr>
      <t>Cesarean Section</t>
    </r>
  </si>
  <si>
    <r>
      <rPr>
        <i/>
        <sz val="10"/>
        <color theme="1"/>
        <rFont val="Arial"/>
        <family val="2"/>
      </rPr>
      <t xml:space="preserve">      4c.  No. of </t>
    </r>
    <r>
      <rPr>
        <b/>
        <i/>
        <sz val="10"/>
        <color theme="1"/>
        <rFont val="Arial"/>
        <family val="2"/>
      </rPr>
      <t>Combined Vaginal-Cesarean deliveries</t>
    </r>
  </si>
  <si>
    <r>
      <rPr>
        <b/>
        <i/>
        <sz val="10"/>
        <color theme="1"/>
        <rFont val="Arial"/>
        <family val="2"/>
      </rPr>
      <t xml:space="preserve">1. </t>
    </r>
    <r>
      <rPr>
        <b/>
        <i/>
        <u/>
        <sz val="10"/>
        <color theme="1"/>
        <rFont val="Arial"/>
        <family val="2"/>
      </rPr>
      <t>4PNC</t>
    </r>
  </si>
  <si>
    <t>1a. Total No. of women who delivered and completed at 
      least 4PNC =(a1+a2)</t>
  </si>
  <si>
    <r>
      <rPr>
        <i/>
        <sz val="10"/>
        <color theme="1"/>
        <rFont val="Arial"/>
        <family val="2"/>
      </rPr>
      <t xml:space="preserve">      2a. Number of postpartum women who completed the 
            dose of </t>
    </r>
    <r>
      <rPr>
        <b/>
        <i/>
        <sz val="10"/>
        <color theme="1"/>
        <rFont val="Arial"/>
        <family val="2"/>
      </rPr>
      <t>Iron with Folic Acid</t>
    </r>
    <r>
      <rPr>
        <i/>
        <sz val="10"/>
        <color theme="1"/>
        <rFont val="Arial"/>
        <family val="2"/>
      </rPr>
      <t xml:space="preserve"> S</t>
    </r>
    <r>
      <rPr>
        <b/>
        <i/>
        <sz val="10"/>
        <color theme="1"/>
        <rFont val="Arial"/>
        <family val="2"/>
      </rPr>
      <t>upplementation</t>
    </r>
  </si>
  <si>
    <r>
      <rPr>
        <i/>
        <sz val="10"/>
        <color theme="1"/>
        <rFont val="Arial"/>
        <family val="2"/>
      </rPr>
      <t xml:space="preserve">        a1. No. of women who delivered and provided 1st to 4th 
              PNC on schedule </t>
    </r>
    <r>
      <rPr>
        <b/>
        <i/>
        <sz val="10"/>
        <color theme="1"/>
        <rFont val="Arial"/>
        <family val="2"/>
      </rPr>
      <t>(Resident)</t>
    </r>
  </si>
  <si>
    <r>
      <rPr>
        <i/>
        <sz val="10"/>
        <color theme="1"/>
        <rFont val="Arial"/>
        <family val="2"/>
      </rPr>
      <t xml:space="preserve">      2b. Number of postpartum women who completed the 
            dose of </t>
    </r>
    <r>
      <rPr>
        <b/>
        <i/>
        <sz val="10"/>
        <color theme="1"/>
        <rFont val="Arial"/>
        <family val="2"/>
      </rPr>
      <t>Vitamin A supplementation</t>
    </r>
  </si>
  <si>
    <r>
      <rPr>
        <i/>
        <sz val="10"/>
        <color theme="1"/>
        <rFont val="Arial"/>
        <family val="2"/>
      </rPr>
      <t xml:space="preserve">        a2. </t>
    </r>
    <r>
      <rPr>
        <i/>
        <sz val="10"/>
        <color theme="1"/>
        <rFont val="Arial"/>
        <family val="2"/>
      </rPr>
      <t xml:space="preserve">No. of women delivered and completed at least 4PNC 
              </t>
    </r>
    <r>
      <rPr>
        <b/>
        <i/>
        <sz val="10"/>
        <color theme="1"/>
        <rFont val="Arial"/>
        <family val="2"/>
      </rPr>
      <t>TRANS IN</t>
    </r>
    <r>
      <rPr>
        <i/>
        <sz val="10"/>
        <color theme="1"/>
        <rFont val="Arial"/>
        <family val="2"/>
      </rPr>
      <t xml:space="preserve"> from other LGUs</t>
    </r>
  </si>
  <si>
    <r>
      <rPr>
        <b/>
        <i/>
        <sz val="10"/>
        <color theme="1"/>
        <rFont val="Arial"/>
        <family val="2"/>
      </rPr>
      <t xml:space="preserve">2. </t>
    </r>
    <r>
      <rPr>
        <b/>
        <i/>
        <u/>
        <sz val="10"/>
        <color theme="1"/>
        <rFont val="Arial"/>
        <family val="2"/>
      </rPr>
      <t>BP measurement</t>
    </r>
  </si>
  <si>
    <t>1b. Total No. of women women due for PNC =(b1+b2)</t>
  </si>
  <si>
    <t xml:space="preserve">      8a. No. of postpartum women who had their BP measured during
            each of their antenatal care visit</t>
  </si>
  <si>
    <r>
      <rPr>
        <i/>
        <sz val="10"/>
        <color theme="1"/>
        <rFont val="Arial"/>
        <family val="2"/>
      </rPr>
      <t xml:space="preserve">        b1. </t>
    </r>
    <r>
      <rPr>
        <i/>
        <sz val="10"/>
        <color theme="1"/>
        <rFont val="Arial"/>
        <family val="2"/>
      </rPr>
      <t xml:space="preserve">No. of women due for PNC </t>
    </r>
    <r>
      <rPr>
        <b/>
        <i/>
        <sz val="10"/>
        <color theme="1"/>
        <rFont val="Arial"/>
        <family val="2"/>
      </rPr>
      <t>(Resident)</t>
    </r>
  </si>
  <si>
    <t xml:space="preserve">      8b. No. of postpartum women with high BP or danger signs who
            were referred to a higher-level facility</t>
  </si>
  <si>
    <r>
      <rPr>
        <i/>
        <sz val="10"/>
        <color theme="1"/>
        <rFont val="Arial"/>
        <family val="2"/>
      </rPr>
      <t xml:space="preserve">        b2. No. of </t>
    </r>
    <r>
      <rPr>
        <b/>
        <i/>
        <sz val="10"/>
        <color theme="1"/>
        <rFont val="Arial"/>
        <family val="2"/>
      </rPr>
      <t>TRANS-IN</t>
    </r>
    <r>
      <rPr>
        <i/>
        <sz val="10"/>
        <color theme="1"/>
        <rFont val="Arial"/>
        <family val="2"/>
      </rPr>
      <t xml:space="preserve"> from other LGUs due for PNC</t>
    </r>
  </si>
  <si>
    <r>
      <rPr>
        <i/>
        <sz val="10"/>
        <color theme="1"/>
        <rFont val="Arial"/>
        <family val="2"/>
      </rPr>
      <t xml:space="preserve">        b3. No. of </t>
    </r>
    <r>
      <rPr>
        <b/>
        <i/>
        <sz val="10"/>
        <color theme="1"/>
        <rFont val="Arial"/>
        <family val="2"/>
      </rPr>
      <t>TRANS-OUT (with MOV)</t>
    </r>
    <r>
      <rPr>
        <i/>
        <sz val="10"/>
        <color theme="1"/>
        <rFont val="Arial"/>
        <family val="2"/>
      </rPr>
      <t xml:space="preserve"> before completing
             4PNC</t>
    </r>
  </si>
  <si>
    <t>SECTION C. CHILD CARE AND SERVICES</t>
  </si>
  <si>
    <t>Sex</t>
  </si>
  <si>
    <t>IMMUNIZATION</t>
  </si>
  <si>
    <t>A.1. Immunization Services (0-11 months old current year)</t>
  </si>
  <si>
    <t>2. BCG (within 24 hours)</t>
  </si>
  <si>
    <t>4. Hep B antigen with in 24 hrs after birth</t>
  </si>
  <si>
    <t>NUTRITION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</si>
  <si>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</si>
  <si>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</si>
  <si>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</si>
  <si>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</si>
  <si>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</si>
  <si>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r>
      <rPr>
        <i/>
        <sz val="10"/>
        <color theme="1"/>
        <rFont val="Arial"/>
        <family val="2"/>
      </rPr>
      <t xml:space="preserve">6a. Identified </t>
    </r>
    <r>
      <rPr>
        <b/>
        <i/>
        <sz val="10"/>
        <color theme="1"/>
        <rFont val="Arial"/>
        <family val="2"/>
      </rPr>
      <t>MAM</t>
    </r>
  </si>
  <si>
    <r>
      <rPr>
        <i/>
        <sz val="10"/>
        <color theme="1"/>
        <rFont val="Arial"/>
        <family val="2"/>
      </rPr>
      <t xml:space="preserve">8. </t>
    </r>
    <r>
      <rPr>
        <b/>
        <i/>
        <sz val="10"/>
        <color theme="1"/>
        <rFont val="Arial"/>
        <family val="2"/>
      </rPr>
      <t xml:space="preserve">SAM </t>
    </r>
    <r>
      <rPr>
        <i/>
        <sz val="10"/>
        <color theme="1"/>
        <rFont val="Arial"/>
        <family val="2"/>
      </rPr>
      <t>without complication admitted to OTC</t>
    </r>
  </si>
  <si>
    <r>
      <rPr>
        <i/>
        <sz val="10"/>
        <color theme="1"/>
        <rFont val="Arial"/>
        <family val="2"/>
      </rPr>
      <t xml:space="preserve">6b. Identified </t>
    </r>
    <r>
      <rPr>
        <b/>
        <i/>
        <sz val="10"/>
        <color theme="1"/>
        <rFont val="Arial"/>
        <family val="2"/>
      </rPr>
      <t>SAM</t>
    </r>
  </si>
  <si>
    <r>
      <rPr>
        <i/>
        <sz val="10"/>
        <color theme="1"/>
        <rFont val="Arial"/>
        <family val="2"/>
      </rPr>
      <t xml:space="preserve">7. </t>
    </r>
    <r>
      <rPr>
        <b/>
        <i/>
        <sz val="10"/>
        <color theme="1"/>
        <rFont val="Arial"/>
        <family val="2"/>
      </rPr>
      <t>MAM</t>
    </r>
    <r>
      <rPr>
        <i/>
        <sz val="10"/>
        <color theme="1"/>
        <rFont val="Arial"/>
        <family val="2"/>
      </rPr>
      <t xml:space="preserve"> enrolled to SFP</t>
    </r>
  </si>
  <si>
    <t>MANAGEMENT OF SICK</t>
  </si>
  <si>
    <t>SECTION D. ORAL HEALTH CARE SERVICES</t>
  </si>
  <si>
    <t>FIRST VISIT TO AN ORAL HEALTH CARE PROFESSIONAL</t>
  </si>
  <si>
    <r>
      <rPr>
        <i/>
        <sz val="10"/>
        <color theme="1"/>
        <rFont val="Arial"/>
        <family val="2"/>
      </rPr>
      <t xml:space="preserve">1. Infants 0-11 months old who had their </t>
    </r>
    <r>
      <rPr>
        <b/>
        <i/>
        <sz val="10"/>
        <color theme="1"/>
        <rFont val="Arial"/>
        <family val="2"/>
      </rPr>
      <t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</si>
  <si>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</si>
  <si>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</si>
  <si>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rPr>
        <i/>
        <sz val="10"/>
        <color theme="1"/>
        <rFont val="Arial"/>
        <family val="2"/>
      </rPr>
      <t xml:space="preserve">1a. Children 1-4 years old who completed 2 visits to a </t>
    </r>
    <r>
      <rPr>
        <b/>
        <i/>
        <sz val="10"/>
        <color theme="1"/>
        <rFont val="Arial"/>
        <family val="2"/>
      </rPr>
      <t xml:space="preserve">facility-based </t>
    </r>
    <r>
      <rPr>
        <i/>
        <sz val="10"/>
        <color theme="1"/>
        <rFont val="Arial"/>
        <family val="2"/>
      </rPr>
      <t>oral health care professional within a year</t>
    </r>
  </si>
  <si>
    <r>
      <rPr>
        <i/>
        <sz val="10"/>
        <color theme="1"/>
        <rFont val="Arial"/>
        <family val="2"/>
      </rPr>
      <t xml:space="preserve">1a. Children 1-4 years old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</si>
  <si>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1b. Children 1-4 years old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</si>
  <si>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1b. Children 1-4 years old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</si>
  <si>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</si>
  <si>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</si>
  <si>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rPr>
        <i/>
        <sz val="10"/>
        <color theme="1"/>
        <rFont val="Arial"/>
        <family val="2"/>
      </rPr>
      <t xml:space="preserve">2a. Children 5-9 years old who completed 2 visits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</si>
  <si>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2a. Children 5-9 years old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</si>
  <si>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2b. Children 5-9 years old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</si>
  <si>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2b. Children 5-9 years old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</si>
  <si>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</si>
  <si>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</si>
  <si>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rPr>
        <i/>
        <sz val="10"/>
        <color theme="1"/>
        <rFont val="Arial"/>
        <family val="2"/>
      </rPr>
      <t xml:space="preserve">3a. Adolescents 10-19 years old who completed 2 visits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</si>
  <si>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3a. Adolescents 10-19 years old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</si>
  <si>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3b. Adolescents 10-19 years old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</si>
  <si>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3b. Adolescents 10-19 years old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</si>
  <si>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</si>
  <si>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</si>
  <si>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rPr>
        <i/>
        <sz val="10"/>
        <color theme="1"/>
        <rFont val="Arial"/>
        <family val="2"/>
      </rPr>
      <t xml:space="preserve">4a. Adults 20-59 years old who completed 2 visits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</si>
  <si>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4a. Adults 20-59 years old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</si>
  <si>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4b. Adults 20-59 years old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</si>
  <si>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4b. Adults 20-59 years old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</si>
  <si>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</si>
  <si>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</si>
  <si>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rPr>
        <i/>
        <sz val="10"/>
        <color theme="1"/>
        <rFont val="Arial"/>
        <family val="2"/>
      </rPr>
      <t xml:space="preserve">5a. Senior Citizens 60 years old and above who completed 2 visits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</si>
  <si>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5a. Senior Citizens 60 years old and above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</si>
  <si>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5b. Senior Citizens 60 years old and above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</si>
  <si>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5b. Senior Citizens 60 years old and above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</si>
  <si>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</si>
  <si>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</si>
  <si>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r>
      <rPr>
        <i/>
        <sz val="10"/>
        <color theme="1"/>
        <rFont val="Arial"/>
        <family val="2"/>
      </rPr>
      <t xml:space="preserve">6a. Pregnant Women who had their 1st visit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</si>
  <si>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6a. Pregnant Women who completed 2 visits to a </t>
    </r>
    <r>
      <rPr>
        <b/>
        <i/>
        <sz val="10"/>
        <color theme="1"/>
        <rFont val="Arial"/>
        <family val="2"/>
      </rPr>
      <t>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</si>
  <si>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6b. Pregnant Women who had their 1st visit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</si>
  <si>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r>
      <rPr>
        <i/>
        <sz val="10"/>
        <color theme="1"/>
        <rFont val="Arial"/>
        <family val="2"/>
      </rPr>
      <t xml:space="preserve">6b. Pregnant Women who completed 2 visits to a </t>
    </r>
    <r>
      <rPr>
        <b/>
        <i/>
        <sz val="10"/>
        <color theme="1"/>
        <rFont val="Arial"/>
        <family val="2"/>
      </rPr>
      <t>non-facility-based</t>
    </r>
    <r>
      <rPr>
        <i/>
        <sz val="10"/>
        <color theme="1"/>
        <rFont val="Arial"/>
        <family val="2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</si>
  <si>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</si>
  <si>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</si>
  <si>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</si>
  <si>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</si>
  <si>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Current Smokers</t>
  </si>
  <si>
    <t>2a. Current Smokers</t>
  </si>
  <si>
    <t xml:space="preserve">      a. Tobacco Products</t>
  </si>
  <si>
    <t xml:space="preserve">     a. Tobacco Products</t>
  </si>
  <si>
    <t xml:space="preserve">      b. Vaporized Nicotine Products</t>
  </si>
  <si>
    <t xml:space="preserve">     b. Vaporized Nicotine Products</t>
  </si>
  <si>
    <t xml:space="preserve">      c. Both</t>
  </si>
  <si>
    <t xml:space="preserve">     c. Both</t>
  </si>
  <si>
    <t>1b. Provided Brief Tobacco Intervention</t>
  </si>
  <si>
    <t>2b. Provided Brief Tobacco Intervention</t>
  </si>
  <si>
    <t>1c. Binge Drinker</t>
  </si>
  <si>
    <t>2c. Binge Drinker</t>
  </si>
  <si>
    <t>1d. Insufficient physical activities</t>
  </si>
  <si>
    <t>2d. Insufficient physical activities</t>
  </si>
  <si>
    <t>1e. Consumed unhealthy diet</t>
  </si>
  <si>
    <t>2e. Consumed unhealthy diet</t>
  </si>
  <si>
    <t>1f. Overweight</t>
  </si>
  <si>
    <t>2f. Overweight</t>
  </si>
  <si>
    <t>1g. Obese</t>
  </si>
  <si>
    <t>2g. Obese</t>
  </si>
  <si>
    <t>E2. Cardiovascular Disease Prevention and Control</t>
  </si>
  <si>
    <t>E3. Diabetes Mellitus Prevention and Control</t>
  </si>
  <si>
    <r>
      <rPr>
        <i/>
        <sz val="10"/>
        <color theme="1"/>
        <rFont val="Arial"/>
        <family val="2"/>
      </rPr>
      <t xml:space="preserve">The total number of identified adult (20-59 years old) hypertensives </t>
    </r>
    <r>
      <rPr>
        <b/>
        <i/>
        <sz val="10"/>
        <color theme="1"/>
        <rFont val="Arial"/>
        <family val="2"/>
      </rPr>
      <t>(Sum of January to Previous Month)</t>
    </r>
  </si>
  <si>
    <t>The total number of identified adult (20-59 years old) with Type II Diabetes (Sum of January to Previous Month)</t>
  </si>
  <si>
    <t>The total number of identified  adult (20-59 years old) hypertensives in the current month</t>
  </si>
  <si>
    <t>The total number of identified  adult (20-59 years old) with Type II Diabetes in the current month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</si>
  <si>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</si>
  <si>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</si>
  <si>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</si>
  <si>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</si>
  <si>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 xml:space="preserve">     2a. Provided by facility (100%)</t>
  </si>
  <si>
    <t xml:space="preserve">     2b. Out of pocket</t>
  </si>
  <si>
    <t xml:space="preserve">     2c. Both</t>
  </si>
  <si>
    <r>
      <rPr>
        <i/>
        <sz val="10"/>
        <color theme="1"/>
        <rFont val="Arial"/>
        <family val="2"/>
      </rPr>
      <t xml:space="preserve">The total number of identified SC (60 years old and above) hypertensives </t>
    </r>
    <r>
      <rPr>
        <b/>
        <i/>
        <sz val="10"/>
        <color theme="1"/>
        <rFont val="Arial"/>
        <family val="2"/>
      </rPr>
      <t>(Sum of January to Previous Month)</t>
    </r>
  </si>
  <si>
    <t>The total number of identified SCs (60 years old and above) with Type II Diabetes (Sum of January to Previous Month)</t>
  </si>
  <si>
    <t>The total number of identified SC (60 years old and above) hypertensives in the current month</t>
  </si>
  <si>
    <t>The total number of identified SCs (60 years old and above) with Type II Diabetes in the current month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</si>
  <si>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</si>
  <si>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</si>
  <si>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</si>
  <si>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</si>
  <si>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 xml:space="preserve">     4a. Provided by facility (100%)</t>
  </si>
  <si>
    <t xml:space="preserve">     4b. Out of pocket</t>
  </si>
  <si>
    <t xml:space="preserve">     4c. Both</t>
  </si>
  <si>
    <t>E4. Blindness Prevention Program</t>
  </si>
  <si>
    <t>1. Screened for eye disease/s</t>
  </si>
  <si>
    <t>2c. 20-59 years old screened and identified with eye disease/s</t>
  </si>
  <si>
    <t xml:space="preserve">     1a. 0-9 years old screened for eye disease/s</t>
  </si>
  <si>
    <t>2c1. Identified with at least one eye ailment</t>
  </si>
  <si>
    <t xml:space="preserve">     1b. 10-19 years old screened for eye disease/s</t>
  </si>
  <si>
    <t>2c2. Changes in vision</t>
  </si>
  <si>
    <t xml:space="preserve">     1c. 20-59 years old screened for eye disease/s</t>
  </si>
  <si>
    <t>2c3. Changes in appearance</t>
  </si>
  <si>
    <t xml:space="preserve">     1d.60 years old and above screened for eye disease/s</t>
  </si>
  <si>
    <t>2c4. Eye and orbital injury</t>
  </si>
  <si>
    <t>2. Screened and identified with eye disease/s</t>
  </si>
  <si>
    <t>2c5. Routine eye exams</t>
  </si>
  <si>
    <t>E5. Immunization for Senior Citizens</t>
  </si>
  <si>
    <t>1. Senior Citizens Seen who had not previously received PPV upon reaching 60 years old</t>
  </si>
  <si>
    <t>4. Senior citizens aged 60 years old and above who received one (1) dose of Influenza Vaccine</t>
  </si>
  <si>
    <t>3. Identified with eye disease/s and referred to an eye health professional</t>
  </si>
  <si>
    <t>3a. 0-9 years olddentified with eye disease/s and referred to an eye health professional</t>
  </si>
  <si>
    <t>E6. Geriatric Screening</t>
  </si>
  <si>
    <t>3b. 10-19 years old identified with eye disease/s and referred to an eye health professional</t>
  </si>
  <si>
    <t>3c. 20-59 years old identified with eye disease/s and referred to an eye health professional</t>
  </si>
  <si>
    <t>3. Senior Citizens identified with eye disease/s and referred to an eye health professional</t>
  </si>
  <si>
    <t>Age Groups (in years)</t>
  </si>
  <si>
    <t>0-9</t>
  </si>
  <si>
    <t>20-59</t>
  </si>
  <si>
    <t>60 and above</t>
  </si>
  <si>
    <t>E7. Mental Health</t>
  </si>
  <si>
    <t>1. Individuals with mental health concern screened using the Mental Health Gap Action Programme (mhGAP)</t>
  </si>
  <si>
    <t>E8. Cervical Cancer Prevention and Control Services</t>
  </si>
  <si>
    <t>E9. Breast Cancer Prevention and Control Services</t>
  </si>
  <si>
    <t>1. Women aged 30-65 years old screened or assessed for cervical cancer</t>
  </si>
  <si>
    <t>1. Number of 30-69 years old women seen</t>
  </si>
  <si>
    <t>1a. VIA</t>
  </si>
  <si>
    <t>2. Number of high-risk or symptomatic women</t>
  </si>
  <si>
    <t>2a. PapSmear</t>
  </si>
  <si>
    <t>3. High-risk or symptomatic women aged 30-69 years old provided with Breast Cancer Early Detection Services</t>
  </si>
  <si>
    <t>3a. HPV DNA</t>
  </si>
  <si>
    <t>3a. Clinical Breast Examination</t>
  </si>
  <si>
    <t>4a. Assessed Only</t>
  </si>
  <si>
    <t>3b. Mammogram</t>
  </si>
  <si>
    <t>2. Women aged 30-65 years old found suspicious for cervical cancer</t>
  </si>
  <si>
    <t>4. High-risk or symptomatic women aged 30-69 years old found with remarkable or significant results</t>
  </si>
  <si>
    <t>3. Women aged 30-65 years old found suspicious for cervical cancer and linked to care</t>
  </si>
  <si>
    <t>4a. Clinical Breast Examination</t>
  </si>
  <si>
    <t>3a. Treated</t>
  </si>
  <si>
    <t>4b. Mammogram</t>
  </si>
  <si>
    <t>3b. Referred</t>
  </si>
  <si>
    <t>5. High-risk or symptomatic women aged 30-69 years old found with remarkable results and linked to care</t>
  </si>
  <si>
    <t>4. Women aged 30-65 years old found positive for precancerous lesions</t>
  </si>
  <si>
    <t>5a. Clinical Breast Examination</t>
  </si>
  <si>
    <t>5. Women aged 30-65 years old found positive for precancerous lesions and linked to care</t>
  </si>
  <si>
    <t>5b. Mammogram</t>
  </si>
  <si>
    <t>5a. Treated</t>
  </si>
  <si>
    <t>6. Asymptomatic women aged 50-69 years old screened for breast cancer</t>
  </si>
  <si>
    <t>5b. Referred</t>
  </si>
  <si>
    <t>6a. Clinical Breast Examination</t>
  </si>
  <si>
    <t>6b. Mammogram</t>
  </si>
  <si>
    <t>7. Asymptomatic women aged 50-69 years old screened for breast cancer and found with remarkable or significant results</t>
  </si>
  <si>
    <t>7a. Clinical Breast Examination</t>
  </si>
  <si>
    <t>7b. Mammogram</t>
  </si>
  <si>
    <t>8. Asymptomatic women aged 50-69 years old screened for breast cancer and found with remarkable or significant results and linked to care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</si>
  <si>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</si>
  <si>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</si>
  <si>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</si>
  <si>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</si>
  <si>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</si>
  <si>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</si>
  <si>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</si>
  <si>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</si>
  <si>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</si>
  <si>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</si>
  <si>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</si>
  <si>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</si>
  <si>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</si>
  <si>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</si>
  <si>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A. Filariasis</t>
  </si>
  <si>
    <t>3. Hydrocele</t>
  </si>
  <si>
    <t>4. Number of individuals who received Mass Drug Administration</t>
  </si>
  <si>
    <t xml:space="preserve">  4a. 2-4 years old</t>
  </si>
  <si>
    <t xml:space="preserve">  4c. 15 years old and above</t>
  </si>
  <si>
    <t>6. Category III Rabies exposure who received complete dose of Anti-Rabies Vaccine (ARV) and Single Dose of Rabies Immunoglobulin (RIG)</t>
  </si>
  <si>
    <t>1a. No. of Category I Rabies exposure</t>
  </si>
  <si>
    <r>
      <rPr>
        <sz val="10"/>
        <color theme="1"/>
        <rFont val="Arial"/>
        <family val="2"/>
      </rPr>
      <t xml:space="preserve">6a. No. of Category III rabies exposure who received complete doses of </t>
    </r>
    <r>
      <rPr>
        <b/>
        <sz val="10"/>
        <color theme="1"/>
        <rFont val="Arial"/>
        <family val="2"/>
      </rPr>
      <t>ARV and RIG</t>
    </r>
  </si>
  <si>
    <r>
      <rPr>
        <sz val="10"/>
        <color theme="1"/>
        <rFont val="Arial"/>
        <family val="2"/>
      </rPr>
      <t xml:space="preserve">6b. No. of Category III rabies exposure who received complete doses of </t>
    </r>
    <r>
      <rPr>
        <b/>
        <sz val="10"/>
        <color theme="1"/>
        <rFont val="Arial"/>
        <family val="2"/>
      </rPr>
      <t>anti-rabies vaccines (Booster)</t>
    </r>
  </si>
  <si>
    <t>2a. No. of Category II Rabies exposure</t>
  </si>
  <si>
    <r>
      <rPr>
        <sz val="10"/>
        <color theme="1"/>
        <rFont val="Arial"/>
        <family val="2"/>
      </rPr>
      <t>6c.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No. of Category III rabies exposure </t>
    </r>
    <r>
      <rPr>
        <b/>
        <sz val="10"/>
        <color theme="1"/>
        <rFont val="Arial"/>
        <family val="2"/>
      </rPr>
      <t xml:space="preserve">WITHOUT history </t>
    </r>
    <r>
      <rPr>
        <sz val="10"/>
        <color theme="1"/>
        <rFont val="Arial"/>
        <family val="2"/>
      </rPr>
      <t xml:space="preserve">of complete anti-rabies vaccine </t>
    </r>
    <r>
      <rPr>
        <b/>
        <sz val="10"/>
        <color theme="1"/>
        <rFont val="Arial"/>
        <family val="2"/>
      </rPr>
      <t xml:space="preserve">
</t>
    </r>
  </si>
  <si>
    <t>3. Category II Eligible for Anti-Rabies Vaccine (ARV)</t>
  </si>
  <si>
    <r>
      <rPr>
        <sz val="10"/>
        <color theme="1"/>
        <rFont val="Arial"/>
        <family val="2"/>
      </rPr>
      <t>6d.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No. of Category III rabies exposure</t>
    </r>
    <r>
      <rPr>
        <b/>
        <sz val="10"/>
        <color theme="1"/>
        <rFont val="Arial"/>
        <family val="2"/>
      </rPr>
      <t xml:space="preserve"> WITH history </t>
    </r>
    <r>
      <rPr>
        <sz val="10"/>
        <color theme="1"/>
        <rFont val="Arial"/>
        <family val="2"/>
      </rPr>
      <t xml:space="preserve">of complete anti-rabies vaccine </t>
    </r>
    <r>
      <rPr>
        <b/>
        <sz val="10"/>
        <color theme="1"/>
        <rFont val="Arial"/>
        <family val="2"/>
      </rPr>
      <t xml:space="preserve">
</t>
    </r>
  </si>
  <si>
    <t>3a. No. of Category II Rabies exposure eligible for ARV</t>
  </si>
  <si>
    <t>4a. No. of Category II Rabies exposure who received complete for ARV</t>
  </si>
  <si>
    <t>5. Category III Rabies exposure</t>
  </si>
  <si>
    <t xml:space="preserve">5a. No. of Category III Rabies exposure </t>
  </si>
  <si>
    <t xml:space="preserve">  9a. 5-14 years old</t>
  </si>
  <si>
    <t xml:space="preserve">  9b. 15-19 years old</t>
  </si>
  <si>
    <t xml:space="preserve">  9c. 20-59 years old</t>
  </si>
  <si>
    <t>1.No. of Leprosy Cases on treatment</t>
  </si>
  <si>
    <t>4. Completed fixed duration Multi-Drug Therapy (MDT)</t>
  </si>
  <si>
    <t>2. No. of newly detected case</t>
  </si>
  <si>
    <t>3. Confirmed Leprosy Cases</t>
  </si>
  <si>
    <t>1. Pregnant women screened for syphilis - Total</t>
  </si>
  <si>
    <t>5. Pregnant women screened reactive for HIV - Total</t>
  </si>
  <si>
    <t>2. Pregnant women screened reactive for syphilis - Total</t>
  </si>
  <si>
    <t>6. Pregnant women screened for Hepatitis B - Total</t>
  </si>
  <si>
    <t>3. Pregnant women treated for syphilis - Total</t>
  </si>
  <si>
    <t>7. Pregnant women screened reactive for Hepatitis B - Total</t>
  </si>
  <si>
    <t>4. Pregnant women screened for HIV - Total</t>
  </si>
  <si>
    <t>SECTION C. VITAL STATISTICS</t>
  </si>
  <si>
    <r>
      <rPr>
        <b/>
        <sz val="10"/>
        <color theme="1"/>
        <rFont val="Arial"/>
        <family val="2"/>
      </rPr>
      <t xml:space="preserve">1. </t>
    </r>
    <r>
      <rPr>
        <b/>
        <i/>
        <u/>
        <sz val="10"/>
        <color theme="1"/>
        <rFont val="Arial"/>
        <family val="2"/>
      </rPr>
      <t>Maternal Mortality - Total</t>
    </r>
  </si>
  <si>
    <r>
      <rPr>
        <b/>
        <i/>
        <sz val="10"/>
        <color theme="1"/>
        <rFont val="Arial"/>
        <family val="2"/>
      </rPr>
      <t xml:space="preserve">1. </t>
    </r>
    <r>
      <rPr>
        <b/>
        <i/>
        <u/>
        <sz val="10"/>
        <color theme="1"/>
        <rFont val="Arial"/>
        <family val="2"/>
      </rPr>
      <t>Live births (Total)</t>
    </r>
  </si>
  <si>
    <t xml:space="preserve">    a. Direct</t>
  </si>
  <si>
    <t xml:space="preserve">         a1. Resident</t>
  </si>
  <si>
    <t xml:space="preserve">         a2. Non-Resident</t>
  </si>
  <si>
    <r>
      <rPr>
        <b/>
        <i/>
        <sz val="10"/>
        <color theme="1"/>
        <rFont val="Arial"/>
        <family val="2"/>
      </rPr>
      <t xml:space="preserve">2. </t>
    </r>
    <r>
      <rPr>
        <b/>
        <i/>
        <u/>
        <sz val="10"/>
        <color theme="1"/>
        <rFont val="Arial"/>
        <family val="2"/>
      </rPr>
      <t>Adolescent Birth</t>
    </r>
  </si>
  <si>
    <t xml:space="preserve">    b. Indirect</t>
  </si>
  <si>
    <t xml:space="preserve">    2a. &lt;10 years old</t>
  </si>
  <si>
    <t xml:space="preserve">         b1. Resident</t>
  </si>
  <si>
    <t xml:space="preserve">    2b. 10-14 years old</t>
  </si>
  <si>
    <t xml:space="preserve">         b2. Non-Resident</t>
  </si>
  <si>
    <t xml:space="preserve">    2c. 15-19 years old</t>
  </si>
  <si>
    <r>
      <rPr>
        <b/>
        <i/>
        <sz val="10"/>
        <color theme="1"/>
        <rFont val="Arial"/>
        <family val="2"/>
      </rPr>
      <t xml:space="preserve">3. </t>
    </r>
    <r>
      <rPr>
        <b/>
        <i/>
        <u/>
        <sz val="10"/>
        <color theme="1"/>
        <rFont val="Arial"/>
        <family val="2"/>
      </rPr>
      <t>Repeat Adolescent Birth</t>
    </r>
  </si>
  <si>
    <t xml:space="preserve">    3a. 10-14 years old</t>
  </si>
  <si>
    <t xml:space="preserve">    3b. 15-19 years old</t>
  </si>
  <si>
    <r>
      <t xml:space="preserve">Current Users
</t>
    </r>
    <r>
      <rPr>
        <sz val="10"/>
        <color rgb="FFFFFFFF"/>
        <rFont val="Arial"/>
        <family val="2"/>
      </rPr>
      <t>(Beginning of the Month)</t>
    </r>
  </si>
  <si>
    <t>New Acceptors
(Previous Month)</t>
  </si>
  <si>
    <t>Other Acceptors
(Present Month)</t>
  </si>
  <si>
    <r>
      <t xml:space="preserve">Current User
</t>
    </r>
    <r>
      <rPr>
        <sz val="10"/>
        <color rgb="FFFFFFFF"/>
        <rFont val="Arial"/>
        <family val="2"/>
      </rPr>
      <t>(End of the Month)</t>
    </r>
  </si>
  <si>
    <r>
      <t xml:space="preserve">New Acceptors
</t>
    </r>
    <r>
      <rPr>
        <sz val="10"/>
        <color rgb="FFFFFFFF"/>
        <rFont val="Arial"/>
        <family val="2"/>
      </rPr>
      <t>(Present Month)</t>
    </r>
  </si>
  <si>
    <r>
      <rPr>
        <b/>
        <sz val="10"/>
        <color theme="1"/>
        <rFont val="Arial"/>
        <family val="2"/>
      </rPr>
      <t xml:space="preserve">2. </t>
    </r>
    <r>
      <rPr>
        <b/>
        <i/>
        <u/>
        <sz val="10"/>
        <color theme="1"/>
        <rFont val="Arial"/>
        <family val="2"/>
      </rPr>
      <t>Total Deaths</t>
    </r>
  </si>
  <si>
    <t xml:space="preserve">      8b1. No. of pregnant women identified with high BP or danger signs</t>
  </si>
  <si>
    <t xml:space="preserve">      8b2. No. of pregnant women with high BP or danger signs who
            were referred to a higher-level facility</t>
  </si>
  <si>
    <t>2. No. of individual found positive for lymphatic filariasis</t>
  </si>
  <si>
    <t xml:space="preserve">   3d. Total no. of individuals aged 2 yrs old and above examined  for the 1st time with Hydrocele</t>
  </si>
  <si>
    <t xml:space="preserve">  2a. Nocturnal Blood Examination (NBE)</t>
  </si>
  <si>
    <t xml:space="preserve">  2b. Rapid Diagnostic Test (RDT) </t>
  </si>
  <si>
    <t xml:space="preserve">  2c. Total no. of individuals found positive for lymphedema through NBE and RDT</t>
  </si>
  <si>
    <t>3. Lymphedema</t>
  </si>
  <si>
    <t xml:space="preserve">  3a. 2-4 years old</t>
  </si>
  <si>
    <t xml:space="preserve">  4d. Total no. of individuals aged 2 yrs old and above who received MDA</t>
  </si>
  <si>
    <t xml:space="preserve">  3b. 5-14  years old</t>
  </si>
  <si>
    <t xml:space="preserve">  3c. 15 years old and above</t>
  </si>
  <si>
    <t xml:space="preserve">  3d. Total no. of individuals aged 2 yrs old and above examined  for the 1st time with lymphedema</t>
  </si>
  <si>
    <t>4. Elephentiasis</t>
  </si>
  <si>
    <t xml:space="preserve">  4b. 5-14  years old</t>
  </si>
  <si>
    <t xml:space="preserve">  4d. Total no. of individuals aged 2 yrs old and above examined  for the 1st time with Elephentiasis</t>
  </si>
  <si>
    <t xml:space="preserve">   3a. 2-4 years old</t>
  </si>
  <si>
    <t xml:space="preserve">   3b. 5-14 years old</t>
  </si>
  <si>
    <t xml:space="preserve">   3c. 15 years old and above</t>
  </si>
  <si>
    <t xml:space="preserve">            2a1. Changes in vision</t>
  </si>
  <si>
    <t xml:space="preserve">           2a2. Changes in appearance</t>
  </si>
  <si>
    <t xml:space="preserve">          2a3. Eye and orbital injury</t>
  </si>
  <si>
    <t xml:space="preserve">          2a4. Routine eye exams</t>
  </si>
  <si>
    <t>2a. 0-9 years old screened and identified with at least one eye ailment</t>
  </si>
  <si>
    <t>2d1. Changes in vision</t>
  </si>
  <si>
    <t>2d2. Changes in appearance</t>
  </si>
  <si>
    <t>2d3. Eye and orbital injury</t>
  </si>
  <si>
    <t>2d4. Routine eye exams</t>
  </si>
  <si>
    <t>2b. 10-19 years old screened and identified with at least one eye ailment</t>
  </si>
  <si>
    <t>2b1. Changes in vision</t>
  </si>
  <si>
    <t>2. Senior citizens aged 60 years old and above who received one (1) dose of Pneumococcal Polysaccharide Vaccine</t>
  </si>
  <si>
    <t>2b2. Changes in appearance</t>
  </si>
  <si>
    <t>3. Senior Citizens Seen</t>
  </si>
  <si>
    <t>2b3. Eye and orbital injury</t>
  </si>
  <si>
    <t>2b4. Routine eye exams</t>
  </si>
  <si>
    <r>
      <t xml:space="preserve">2. </t>
    </r>
    <r>
      <rPr>
        <b/>
        <i/>
        <u/>
        <sz val="10"/>
        <color theme="1"/>
        <rFont val="Arial"/>
        <family val="2"/>
      </rPr>
      <t>No. of deliveries attended by Skilled Health Professionals (SHP)</t>
    </r>
    <r>
      <rPr>
        <b/>
        <i/>
        <sz val="10"/>
        <color theme="1"/>
        <rFont val="Arial"/>
        <family val="2"/>
      </rPr>
      <t xml:space="preserve"> =(2a+2b+2c)</t>
    </r>
  </si>
  <si>
    <t>1. No. of individual examined  for lymphatic filariasis</t>
  </si>
  <si>
    <t xml:space="preserve">  1a. Nocturnal Blood Examination (NBE)</t>
  </si>
  <si>
    <t xml:space="preserve">  1b. Rapid Diagnostic Test (RDT) </t>
  </si>
  <si>
    <t xml:space="preserve">  1c. Total no. of individuals examined for lymphedema through NBE and RDT</t>
  </si>
  <si>
    <t>8. Confirmed COMPLICATED Schistosomiasis Cases TREATED</t>
  </si>
  <si>
    <t xml:space="preserve">  8a. 5-14 years old</t>
  </si>
  <si>
    <t xml:space="preserve">  8b. 15-19 years old</t>
  </si>
  <si>
    <t xml:space="preserve">  8c. 20-59 years old</t>
  </si>
  <si>
    <t xml:space="preserve">  8d. 60 years old and above</t>
  </si>
  <si>
    <t>9. Confirmed NON-COMPLICATED Schistosomiasis Cases TREATED</t>
  </si>
  <si>
    <t xml:space="preserve">  9d. 60 years old and above</t>
  </si>
  <si>
    <t>10. Confirmed Schistosomiasis Cases Treated by treatment</t>
  </si>
  <si>
    <t xml:space="preserve">  10a. 1st treatment</t>
  </si>
  <si>
    <t>3. Clinical/Suspected Schistosomiasis Cases Treated by age group</t>
  </si>
  <si>
    <t xml:space="preserve">  10b. Retreatment</t>
  </si>
  <si>
    <t>11. Confirmed COMPLICATED Schistosomiasis Cases CURED by age group</t>
  </si>
  <si>
    <t xml:space="preserve">  11a. 5-14 years old</t>
  </si>
  <si>
    <t xml:space="preserve">  11b. 15-19 years old</t>
  </si>
  <si>
    <t xml:space="preserve">  11c. 20-59 years old</t>
  </si>
  <si>
    <t>4. Clinical/Suspected Schistosomiasis Cases Treated by treatment type</t>
  </si>
  <si>
    <t xml:space="preserve">  11d. 60 years old and above</t>
  </si>
  <si>
    <t xml:space="preserve">  4a. 1st treatment</t>
  </si>
  <si>
    <t>12. Confirmed NON-COMPLICATED Schistosomiasis Cases CURED by age group</t>
  </si>
  <si>
    <t xml:space="preserve">  4b. Retreatement</t>
  </si>
  <si>
    <t xml:space="preserve">  12a. 5-14 years old</t>
  </si>
  <si>
    <t>5. Clinical/Suspected Schistosomiasis Cases Cured</t>
  </si>
  <si>
    <t xml:space="preserve">  12b. 15-19 years old</t>
  </si>
  <si>
    <t xml:space="preserve">  5a. 5-14 years old</t>
  </si>
  <si>
    <t xml:space="preserve">  12c. 20-59 years old</t>
  </si>
  <si>
    <t xml:space="preserve">  5b. 15-19 years old</t>
  </si>
  <si>
    <t xml:space="preserve">  12d. 60 years old and above</t>
  </si>
  <si>
    <t xml:space="preserve">  5c. 20-59 years old</t>
  </si>
  <si>
    <t>13. Confirmed Schistosomiasis Cases Referred to Hospital Facility</t>
  </si>
  <si>
    <t xml:space="preserve">  5d. 60 years old and above</t>
  </si>
  <si>
    <t xml:space="preserve">  13a. 1-4 years old</t>
  </si>
  <si>
    <t>6. Confirmed COMPLICATED Schistosomiasis Cases by age group</t>
  </si>
  <si>
    <t xml:space="preserve">  13b. 5-14 yrs old </t>
  </si>
  <si>
    <t xml:space="preserve">  6a. 5-14 years old</t>
  </si>
  <si>
    <t xml:space="preserve">  13c. 15-19 yrs old</t>
  </si>
  <si>
    <t xml:space="preserve">  6b. 15-19 years old</t>
  </si>
  <si>
    <t xml:space="preserve">  13d. 20-59 yrs old</t>
  </si>
  <si>
    <t xml:space="preserve">  6c. 20-59 years old</t>
  </si>
  <si>
    <t xml:space="preserve">  13e. 60 yrs old and above</t>
  </si>
  <si>
    <t xml:space="preserve">  6d. 60 years old and above</t>
  </si>
  <si>
    <t>14. Individuals dewormed with one (1) dose of Praziquantel during MDA</t>
  </si>
  <si>
    <t>7. Confirmed NON-COMPLICATED Schistosomiasis Cases by age group</t>
  </si>
  <si>
    <t xml:space="preserve">  14a. 5-14 yrs old </t>
  </si>
  <si>
    <t xml:space="preserve">  7a. 5-14 years old</t>
  </si>
  <si>
    <t xml:space="preserve">  14b. 15-19 yrs old</t>
  </si>
  <si>
    <t xml:space="preserve">  7b. 15-19 years old</t>
  </si>
  <si>
    <t xml:space="preserve">  14c. 20-59 yrs old</t>
  </si>
  <si>
    <t xml:space="preserve">  7c. 20-59 years old</t>
  </si>
  <si>
    <t xml:space="preserve">  14d. 60 yrs old and above</t>
  </si>
  <si>
    <t xml:space="preserve">  7d. 60 years old and above</t>
  </si>
  <si>
    <t xml:space="preserve">     a. Amoxicillin drops suspension</t>
  </si>
  <si>
    <t xml:space="preserve">     b. Amoxicillin-clavulanate suspension</t>
  </si>
  <si>
    <t xml:space="preserve">     c. Cefuroxime suspension</t>
  </si>
  <si>
    <t xml:space="preserve">     d. Other antibiotics</t>
  </si>
  <si>
    <t>A.2. Immunization Services (0-11 months of previous year)</t>
  </si>
  <si>
    <t>A.3. School and Community-Based Immunization</t>
  </si>
  <si>
    <t>3. BCG (more than 24 hours to 11 months and 29 days)</t>
  </si>
  <si>
    <r>
      <t xml:space="preserve">3. </t>
    </r>
    <r>
      <rPr>
        <b/>
        <i/>
        <u/>
        <sz val="10"/>
        <color theme="1"/>
        <rFont val="Arial"/>
        <family val="2"/>
      </rPr>
      <t>Under-five Deaths</t>
    </r>
  </si>
  <si>
    <r>
      <t xml:space="preserve">4. </t>
    </r>
    <r>
      <rPr>
        <b/>
        <i/>
        <u/>
        <sz val="10"/>
        <color theme="1"/>
        <rFont val="Arial"/>
        <family val="2"/>
      </rPr>
      <t>Infant Deaths</t>
    </r>
  </si>
  <si>
    <r>
      <t xml:space="preserve">5. </t>
    </r>
    <r>
      <rPr>
        <b/>
        <i/>
        <u/>
        <sz val="10"/>
        <color theme="1"/>
        <rFont val="Arial"/>
        <family val="2"/>
      </rPr>
      <t>Neonatal Deaths</t>
    </r>
  </si>
  <si>
    <r>
      <t xml:space="preserve">6. </t>
    </r>
    <r>
      <rPr>
        <b/>
        <i/>
        <u/>
        <sz val="10"/>
        <color theme="1"/>
        <rFont val="Arial"/>
        <family val="2"/>
      </rPr>
      <t>Perinatal Deaths - Total</t>
    </r>
  </si>
  <si>
    <r>
      <t xml:space="preserve">6a. </t>
    </r>
    <r>
      <rPr>
        <i/>
        <u/>
        <sz val="10"/>
        <color theme="1"/>
        <rFont val="Arial"/>
        <family val="2"/>
      </rPr>
      <t xml:space="preserve">Fetal Deaths </t>
    </r>
  </si>
  <si>
    <r>
      <t xml:space="preserve">6b. </t>
    </r>
    <r>
      <rPr>
        <i/>
        <u/>
        <sz val="10"/>
        <color theme="1"/>
        <rFont val="Arial"/>
        <family val="2"/>
      </rPr>
      <t>Early Neonatal Deaths</t>
    </r>
  </si>
  <si>
    <t>15. FIC</t>
  </si>
  <si>
    <t>16. CIC</t>
  </si>
  <si>
    <t>13. MMR 2 (Given at 12months and 29days)</t>
  </si>
  <si>
    <t>14. MMR 2 (Given at 13-23months)</t>
  </si>
  <si>
    <t>1a. Resident</t>
  </si>
  <si>
    <t>1b. Non-resident</t>
  </si>
  <si>
    <t>1a. 1-4 years old</t>
  </si>
  <si>
    <t>1b. 5-14 years old</t>
  </si>
  <si>
    <t>1c. 15-19 years old</t>
  </si>
  <si>
    <t>1d. 20-59 years old</t>
  </si>
  <si>
    <t>1e. 60 years old and above</t>
  </si>
  <si>
    <t>2. Suspected Cases of STH by place of diagnosis</t>
  </si>
  <si>
    <t>2a. Resident</t>
  </si>
  <si>
    <t>2b. Non-Resident</t>
  </si>
  <si>
    <t>3. Suspected Cases of STH by age group</t>
  </si>
  <si>
    <t>3a. 1-4 years old</t>
  </si>
  <si>
    <t>3b. 5-14 years old</t>
  </si>
  <si>
    <t>3c. 15-19 years old</t>
  </si>
  <si>
    <t>3d. 20-59 years old</t>
  </si>
  <si>
    <t>3e. 60 years old and above</t>
  </si>
  <si>
    <t>4. Confirmed STH Cases by place of diagnosis</t>
  </si>
  <si>
    <t>4a. Resident</t>
  </si>
  <si>
    <t>4b. Non-Resident</t>
  </si>
  <si>
    <t>5. Confirmed STH Cases by age group</t>
  </si>
  <si>
    <t>5a. 1-4 years old</t>
  </si>
  <si>
    <t>5b. 5-14 years old</t>
  </si>
  <si>
    <t>5c. 15-19 years old</t>
  </si>
  <si>
    <t>5d. 20-59 years old</t>
  </si>
  <si>
    <t>5e. 60 years old and above</t>
  </si>
  <si>
    <t>6. Confirmed STH Cases Treated by place of diagnosis</t>
  </si>
  <si>
    <t>6a. Resident</t>
  </si>
  <si>
    <t>6b. Non-Resident</t>
  </si>
  <si>
    <t>7. Confirmed STH Cases Treated by age group</t>
  </si>
  <si>
    <t>7a. 1-4 years old</t>
  </si>
  <si>
    <t>7b. 5-14 years old</t>
  </si>
  <si>
    <t>7c. 15-19 years old</t>
  </si>
  <si>
    <t>7d. 20-59 years old</t>
  </si>
  <si>
    <t>7e. 60 years old and above</t>
  </si>
  <si>
    <t>8. 1-4 years old who were dewormed during January MDA</t>
  </si>
  <si>
    <t>8a. School-Based deworming services</t>
  </si>
  <si>
    <t>8b. Community Based services</t>
  </si>
  <si>
    <t>9. 1-4 years old who were dewormed during July MDA</t>
  </si>
  <si>
    <t>9a. School-Based deworming services</t>
  </si>
  <si>
    <t>9b. Community Based services</t>
  </si>
  <si>
    <t>10. 5-14 years old who were dewormed during January MDA</t>
  </si>
  <si>
    <t>10a. School-Based deworming services</t>
  </si>
  <si>
    <t>10b. Community Based services</t>
  </si>
  <si>
    <t>11. 5-14 years old who were dewormed during July MDA</t>
  </si>
  <si>
    <t>11a. School-Based deworming services</t>
  </si>
  <si>
    <t>11b. Community Based services</t>
  </si>
  <si>
    <t>12. 15-19 yrs old who were dewormed during January/July MDA</t>
  </si>
  <si>
    <t>12a. No. of adolescents (15-19 yrs old) who were dewormed during January MDA</t>
  </si>
  <si>
    <t>12b. No. of adolescents (15-19 yrs old) who were dewormed during July MDA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</si>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</sst>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3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42"/>
      <color theme="1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i/>
      <u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434343"/>
        <bgColor rgb="FF43434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1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/>
      <diagonal/>
    </border>
    <border>
      <left/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/>
      <top style="medium">
        <color indexed="64"/>
      </top>
      <bottom style="thin">
        <color rgb="FFFFFFFF"/>
      </bottom>
      <diagonal/>
    </border>
    <border>
      <left/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FFFFF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3">
    <xf numFmtId="0" fontId="0" fillId="0" borderId="0" xfId="0"/>
    <xf numFmtId="0" fontId="4" fillId="0" borderId="5" xfId="0" applyFont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7" fillId="2" borderId="13" xfId="0" quotePrefix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8" fillId="10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9" borderId="5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164" fontId="6" fillId="9" borderId="6" xfId="0" applyNumberFormat="1" applyFont="1" applyFill="1" applyBorder="1" applyAlignment="1">
      <alignment vertical="center"/>
    </xf>
    <xf numFmtId="0" fontId="6" fillId="9" borderId="6" xfId="0" applyFont="1" applyFill="1" applyBorder="1" applyAlignment="1">
      <alignment vertical="center"/>
    </xf>
    <xf numFmtId="0" fontId="9" fillId="9" borderId="6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8" fillId="0" borderId="46" xfId="0" applyFont="1" applyBorder="1" applyAlignment="1">
      <alignment vertical="center" wrapText="1"/>
    </xf>
    <xf numFmtId="0" fontId="13" fillId="4" borderId="46" xfId="0" applyFont="1" applyFill="1" applyBorder="1" applyAlignment="1">
      <alignment vertical="center" wrapText="1"/>
    </xf>
    <xf numFmtId="0" fontId="13" fillId="10" borderId="50" xfId="0" applyFont="1" applyFill="1" applyBorder="1" applyAlignment="1">
      <alignment vertical="center" wrapText="1"/>
    </xf>
    <xf numFmtId="0" fontId="4" fillId="0" borderId="46" xfId="0" applyFont="1" applyBorder="1" applyAlignment="1">
      <alignment vertical="center" wrapText="1"/>
    </xf>
    <xf numFmtId="0" fontId="8" fillId="0" borderId="51" xfId="0" applyFont="1" applyBorder="1" applyAlignment="1">
      <alignment vertical="center" wrapText="1"/>
    </xf>
    <xf numFmtId="0" fontId="4" fillId="0" borderId="52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13" fillId="9" borderId="46" xfId="0" applyFont="1" applyFill="1" applyBorder="1" applyAlignment="1">
      <alignment vertical="center" wrapText="1"/>
    </xf>
    <xf numFmtId="0" fontId="13" fillId="10" borderId="46" xfId="0" applyFont="1" applyFill="1" applyBorder="1" applyAlignment="1">
      <alignment vertical="center" wrapText="1"/>
    </xf>
    <xf numFmtId="0" fontId="6" fillId="0" borderId="21" xfId="0" applyFont="1" applyBorder="1" applyAlignment="1">
      <alignment horizontal="center" vertical="center"/>
    </xf>
    <xf numFmtId="0" fontId="13" fillId="10" borderId="57" xfId="0" applyFont="1" applyFill="1" applyBorder="1" applyAlignment="1">
      <alignment vertical="center" wrapText="1"/>
    </xf>
    <xf numFmtId="0" fontId="4" fillId="0" borderId="60" xfId="0" applyFont="1" applyBorder="1" applyAlignment="1">
      <alignment horizontal="center" vertical="center"/>
    </xf>
    <xf numFmtId="0" fontId="8" fillId="0" borderId="63" xfId="0" applyFont="1" applyBorder="1" applyAlignment="1">
      <alignment vertical="center" wrapText="1"/>
    </xf>
    <xf numFmtId="0" fontId="8" fillId="0" borderId="65" xfId="0" applyFont="1" applyBorder="1" applyAlignment="1">
      <alignment vertical="center" wrapText="1"/>
    </xf>
    <xf numFmtId="0" fontId="4" fillId="0" borderId="66" xfId="0" applyFont="1" applyBorder="1" applyAlignment="1">
      <alignment vertical="center"/>
    </xf>
    <xf numFmtId="0" fontId="8" fillId="0" borderId="78" xfId="0" applyFont="1" applyBorder="1" applyAlignment="1">
      <alignment vertical="center" wrapText="1"/>
    </xf>
    <xf numFmtId="0" fontId="6" fillId="4" borderId="52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8" fillId="0" borderId="57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4" fillId="0" borderId="78" xfId="0" applyFont="1" applyBorder="1" applyAlignment="1">
      <alignment vertical="center" wrapText="1"/>
    </xf>
    <xf numFmtId="0" fontId="15" fillId="10" borderId="50" xfId="0" applyFont="1" applyFill="1" applyBorder="1" applyAlignment="1">
      <alignment vertical="center" wrapText="1"/>
    </xf>
    <xf numFmtId="0" fontId="17" fillId="10" borderId="46" xfId="0" applyFont="1" applyFill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4" fillId="0" borderId="63" xfId="0" applyFont="1" applyBorder="1" applyAlignment="1">
      <alignment vertical="center" wrapText="1"/>
    </xf>
    <xf numFmtId="0" fontId="5" fillId="5" borderId="78" xfId="0" applyFont="1" applyFill="1" applyBorder="1" applyAlignment="1">
      <alignment vertical="center"/>
    </xf>
    <xf numFmtId="0" fontId="10" fillId="9" borderId="78" xfId="0" applyFont="1" applyFill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21" fillId="0" borderId="63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6" fillId="4" borderId="6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39" xfId="0" applyFont="1" applyBorder="1" applyAlignment="1">
      <alignment vertical="center" wrapText="1"/>
    </xf>
    <xf numFmtId="0" fontId="6" fillId="9" borderId="60" xfId="0" applyFont="1" applyFill="1" applyBorder="1" applyAlignment="1">
      <alignment vertical="center" wrapText="1"/>
    </xf>
    <xf numFmtId="0" fontId="7" fillId="2" borderId="6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50" xfId="0" applyFont="1" applyBorder="1" applyAlignment="1">
      <alignment vertical="center" wrapText="1"/>
    </xf>
    <xf numFmtId="0" fontId="4" fillId="12" borderId="22" xfId="0" applyFont="1" applyFill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6" fillId="4" borderId="21" xfId="0" applyFont="1" applyFill="1" applyBorder="1" applyAlignment="1">
      <alignment horizontal="center" vertical="center"/>
    </xf>
    <xf numFmtId="0" fontId="8" fillId="0" borderId="47" xfId="0" applyFont="1" applyBorder="1" applyAlignment="1">
      <alignment vertical="center" wrapText="1"/>
    </xf>
    <xf numFmtId="0" fontId="8" fillId="0" borderId="7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8" fillId="0" borderId="80" xfId="0" applyFont="1" applyBorder="1" applyAlignment="1">
      <alignment vertical="center" wrapText="1"/>
    </xf>
    <xf numFmtId="0" fontId="4" fillId="0" borderId="81" xfId="0" applyFont="1" applyBorder="1" applyAlignment="1">
      <alignment horizontal="center" vertical="center"/>
    </xf>
    <xf numFmtId="0" fontId="6" fillId="4" borderId="81" xfId="0" applyFont="1" applyFill="1" applyBorder="1" applyAlignment="1">
      <alignment horizontal="center" vertical="center"/>
    </xf>
    <xf numFmtId="0" fontId="4" fillId="0" borderId="81" xfId="0" applyFont="1" applyBorder="1" applyAlignment="1">
      <alignment vertical="center"/>
    </xf>
    <xf numFmtId="0" fontId="13" fillId="0" borderId="50" xfId="0" applyFont="1" applyBorder="1" applyAlignment="1">
      <alignment vertical="center" wrapText="1"/>
    </xf>
    <xf numFmtId="49" fontId="8" fillId="0" borderId="46" xfId="0" applyNumberFormat="1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4" fillId="0" borderId="57" xfId="0" applyFont="1" applyBorder="1" applyAlignment="1">
      <alignment vertical="center" wrapText="1"/>
    </xf>
    <xf numFmtId="0" fontId="14" fillId="10" borderId="63" xfId="0" applyFont="1" applyFill="1" applyBorder="1" applyAlignment="1">
      <alignment vertical="center" wrapText="1"/>
    </xf>
    <xf numFmtId="0" fontId="4" fillId="0" borderId="101" xfId="0" applyFont="1" applyBorder="1" applyAlignment="1">
      <alignment vertical="center"/>
    </xf>
    <xf numFmtId="0" fontId="6" fillId="4" borderId="101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4" fillId="0" borderId="80" xfId="0" applyFont="1" applyBorder="1" applyAlignment="1">
      <alignment vertical="center" wrapText="1"/>
    </xf>
    <xf numFmtId="0" fontId="4" fillId="0" borderId="63" xfId="0" applyFont="1" applyBorder="1" applyAlignment="1">
      <alignment vertical="top" wrapText="1"/>
    </xf>
    <xf numFmtId="0" fontId="6" fillId="4" borderId="60" xfId="0" applyFont="1" applyFill="1" applyBorder="1" applyAlignment="1">
      <alignment horizontal="center" vertical="top"/>
    </xf>
    <xf numFmtId="0" fontId="4" fillId="0" borderId="60" xfId="0" applyFont="1" applyBorder="1" applyAlignment="1">
      <alignment vertical="top"/>
    </xf>
    <xf numFmtId="0" fontId="4" fillId="3" borderId="60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10" borderId="60" xfId="0" applyFont="1" applyFill="1" applyBorder="1" applyAlignment="1">
      <alignment vertical="top"/>
    </xf>
    <xf numFmtId="0" fontId="14" fillId="10" borderId="60" xfId="0" applyFont="1" applyFill="1" applyBorder="1" applyAlignment="1">
      <alignment vertical="top" wrapText="1"/>
    </xf>
    <xf numFmtId="0" fontId="15" fillId="10" borderId="63" xfId="0" applyFont="1" applyFill="1" applyBorder="1" applyAlignment="1">
      <alignment vertical="top" wrapText="1"/>
    </xf>
    <xf numFmtId="0" fontId="16" fillId="10" borderId="60" xfId="0" applyFont="1" applyFill="1" applyBorder="1" applyAlignment="1">
      <alignment vertical="top" wrapText="1"/>
    </xf>
    <xf numFmtId="0" fontId="12" fillId="0" borderId="0" xfId="0" applyFont="1" applyAlignment="1">
      <alignment horizontal="center" vertical="top"/>
    </xf>
    <xf numFmtId="0" fontId="4" fillId="4" borderId="24" xfId="0" applyFont="1" applyFill="1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0" fillId="14" borderId="22" xfId="0" applyFill="1" applyBorder="1" applyAlignment="1">
      <alignment vertical="center"/>
    </xf>
    <xf numFmtId="0" fontId="0" fillId="14" borderId="40" xfId="0" applyFill="1" applyBorder="1" applyAlignment="1">
      <alignment vertical="center"/>
    </xf>
    <xf numFmtId="0" fontId="0" fillId="14" borderId="69" xfId="0" applyFill="1" applyBorder="1" applyAlignment="1">
      <alignment vertical="center"/>
    </xf>
    <xf numFmtId="0" fontId="0" fillId="14" borderId="70" xfId="0" applyFill="1" applyBorder="1" applyAlignment="1">
      <alignment vertical="center"/>
    </xf>
    <xf numFmtId="0" fontId="6" fillId="9" borderId="52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4" fillId="15" borderId="19" xfId="0" applyFont="1" applyFill="1" applyBorder="1" applyAlignment="1">
      <alignment vertical="center" wrapText="1"/>
    </xf>
    <xf numFmtId="0" fontId="4" fillId="15" borderId="7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14" fillId="10" borderId="46" xfId="0" applyFont="1" applyFill="1" applyBorder="1" applyAlignment="1">
      <alignment vertical="center" wrapText="1"/>
    </xf>
    <xf numFmtId="0" fontId="4" fillId="0" borderId="46" xfId="0" applyFont="1" applyBorder="1" applyAlignment="1">
      <alignment wrapText="1"/>
    </xf>
    <xf numFmtId="0" fontId="4" fillId="15" borderId="62" xfId="0" applyFont="1" applyFill="1" applyBorder="1" applyAlignment="1">
      <alignment vertical="center" wrapText="1"/>
    </xf>
    <xf numFmtId="0" fontId="4" fillId="15" borderId="22" xfId="0" applyFont="1" applyFill="1" applyBorder="1" applyAlignment="1">
      <alignment vertical="center" wrapText="1"/>
    </xf>
    <xf numFmtId="0" fontId="4" fillId="15" borderId="40" xfId="0" applyFont="1" applyFill="1" applyBorder="1" applyAlignment="1">
      <alignment vertical="center" wrapText="1"/>
    </xf>
    <xf numFmtId="0" fontId="4" fillId="15" borderId="48" xfId="0" applyFont="1" applyFill="1" applyBorder="1" applyAlignment="1">
      <alignment vertical="center" wrapText="1"/>
    </xf>
    <xf numFmtId="0" fontId="11" fillId="0" borderId="108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8" fillId="0" borderId="67" xfId="0" applyFont="1" applyBorder="1" applyAlignment="1">
      <alignment vertical="center" wrapText="1"/>
    </xf>
    <xf numFmtId="0" fontId="3" fillId="0" borderId="69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" fillId="16" borderId="63" xfId="0" applyFont="1" applyFill="1" applyBorder="1" applyAlignment="1">
      <alignment vertical="center"/>
    </xf>
    <xf numFmtId="0" fontId="4" fillId="0" borderId="63" xfId="0" applyFont="1" applyBorder="1" applyAlignment="1">
      <alignment horizontal="left" vertical="center" indent="1"/>
    </xf>
    <xf numFmtId="0" fontId="4" fillId="0" borderId="80" xfId="0" applyFont="1" applyBorder="1" applyAlignment="1">
      <alignment horizontal="left" vertical="center" indent="1"/>
    </xf>
    <xf numFmtId="0" fontId="11" fillId="13" borderId="106" xfId="0" applyFont="1" applyFill="1" applyBorder="1" applyAlignment="1">
      <alignment vertical="center"/>
    </xf>
    <xf numFmtId="0" fontId="11" fillId="13" borderId="19" xfId="0" applyFont="1" applyFill="1" applyBorder="1" applyAlignment="1">
      <alignment vertical="center"/>
    </xf>
    <xf numFmtId="0" fontId="11" fillId="13" borderId="62" xfId="0" applyFont="1" applyFill="1" applyBorder="1" applyAlignment="1">
      <alignment vertical="center"/>
    </xf>
    <xf numFmtId="0" fontId="11" fillId="13" borderId="103" xfId="0" applyFont="1" applyFill="1" applyBorder="1" applyAlignment="1">
      <alignment vertical="center"/>
    </xf>
    <xf numFmtId="0" fontId="11" fillId="13" borderId="22" xfId="0" applyFont="1" applyFill="1" applyBorder="1" applyAlignment="1">
      <alignment vertical="center"/>
    </xf>
    <xf numFmtId="0" fontId="11" fillId="13" borderId="40" xfId="0" applyFont="1" applyFill="1" applyBorder="1" applyAlignment="1">
      <alignment vertical="center"/>
    </xf>
    <xf numFmtId="0" fontId="11" fillId="13" borderId="107" xfId="0" applyFont="1" applyFill="1" applyBorder="1" applyAlignment="1">
      <alignment vertical="center"/>
    </xf>
    <xf numFmtId="0" fontId="11" fillId="13" borderId="69" xfId="0" applyFont="1" applyFill="1" applyBorder="1" applyAlignment="1">
      <alignment vertical="center"/>
    </xf>
    <xf numFmtId="0" fontId="11" fillId="13" borderId="70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9" fillId="17" borderId="6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9" fillId="17" borderId="4" xfId="0" applyFont="1" applyFill="1" applyBorder="1" applyAlignment="1">
      <alignment vertical="center"/>
    </xf>
    <xf numFmtId="0" fontId="15" fillId="10" borderId="6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6" fillId="0" borderId="81" xfId="0" applyFont="1" applyBorder="1" applyAlignment="1">
      <alignment vertical="center"/>
    </xf>
    <xf numFmtId="0" fontId="6" fillId="16" borderId="60" xfId="0" applyFont="1" applyFill="1" applyBorder="1" applyAlignment="1">
      <alignment vertical="center"/>
    </xf>
    <xf numFmtId="0" fontId="6" fillId="3" borderId="60" xfId="0" applyFont="1" applyFill="1" applyBorder="1" applyAlignment="1">
      <alignment vertical="center" wrapText="1"/>
    </xf>
    <xf numFmtId="0" fontId="4" fillId="4" borderId="60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46" xfId="0" applyFont="1" applyBorder="1" applyAlignment="1">
      <alignment horizontal="left" vertical="center" wrapText="1"/>
    </xf>
    <xf numFmtId="0" fontId="4" fillId="0" borderId="63" xfId="0" applyFont="1" applyBorder="1" applyAlignment="1">
      <alignment horizontal="left" vertical="center" wrapText="1"/>
    </xf>
    <xf numFmtId="0" fontId="4" fillId="0" borderId="80" xfId="0" applyFont="1" applyBorder="1" applyAlignment="1">
      <alignment horizontal="left" vertical="center" wrapText="1"/>
    </xf>
    <xf numFmtId="0" fontId="6" fillId="9" borderId="4" xfId="0" applyFont="1" applyFill="1" applyBorder="1" applyAlignment="1">
      <alignment vertical="center" wrapText="1"/>
    </xf>
    <xf numFmtId="0" fontId="4" fillId="0" borderId="23" xfId="0" applyFont="1" applyBorder="1" applyAlignment="1">
      <alignment vertical="center"/>
    </xf>
    <xf numFmtId="0" fontId="6" fillId="9" borderId="84" xfId="0" applyFont="1" applyFill="1" applyBorder="1" applyAlignment="1">
      <alignment vertical="center" wrapText="1"/>
    </xf>
    <xf numFmtId="0" fontId="4" fillId="0" borderId="84" xfId="0" applyFont="1" applyBorder="1" applyAlignment="1">
      <alignment vertical="center"/>
    </xf>
    <xf numFmtId="0" fontId="4" fillId="0" borderId="113" xfId="0" applyFont="1" applyBorder="1" applyAlignment="1">
      <alignment vertical="center"/>
    </xf>
    <xf numFmtId="0" fontId="4" fillId="10" borderId="63" xfId="0" applyFont="1" applyFill="1" applyBorder="1" applyAlignment="1">
      <alignment horizontal="left" vertical="center" wrapText="1"/>
    </xf>
    <xf numFmtId="0" fontId="15" fillId="10" borderId="116" xfId="0" applyFont="1" applyFill="1" applyBorder="1" applyAlignment="1">
      <alignment vertical="center" wrapText="1"/>
    </xf>
    <xf numFmtId="0" fontId="6" fillId="9" borderId="101" xfId="0" applyFont="1" applyFill="1" applyBorder="1" applyAlignment="1">
      <alignment vertical="center" wrapText="1"/>
    </xf>
    <xf numFmtId="0" fontId="6" fillId="9" borderId="86" xfId="0" applyFont="1" applyFill="1" applyBorder="1" applyAlignment="1">
      <alignment vertical="center" wrapText="1"/>
    </xf>
    <xf numFmtId="0" fontId="9" fillId="0" borderId="115" xfId="0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0" fontId="9" fillId="0" borderId="101" xfId="0" applyFont="1" applyBorder="1" applyAlignment="1">
      <alignment vertical="center"/>
    </xf>
    <xf numFmtId="164" fontId="1" fillId="2" borderId="60" xfId="0" applyNumberFormat="1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0" fillId="0" borderId="78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9" fillId="9" borderId="52" xfId="0" applyFont="1" applyFill="1" applyBorder="1" applyAlignment="1">
      <alignment vertical="center"/>
    </xf>
    <xf numFmtId="0" fontId="7" fillId="2" borderId="60" xfId="0" quotePrefix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vertical="center"/>
    </xf>
    <xf numFmtId="0" fontId="7" fillId="2" borderId="60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vertical="center" wrapText="1"/>
    </xf>
    <xf numFmtId="0" fontId="3" fillId="0" borderId="49" xfId="0" applyFont="1" applyBorder="1"/>
    <xf numFmtId="0" fontId="7" fillId="2" borderId="93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/>
    </xf>
    <xf numFmtId="0" fontId="7" fillId="2" borderId="94" xfId="0" applyFont="1" applyFill="1" applyBorder="1" applyAlignment="1">
      <alignment horizontal="center" vertical="center"/>
    </xf>
    <xf numFmtId="0" fontId="3" fillId="0" borderId="94" xfId="0" applyFont="1" applyBorder="1" applyAlignment="1">
      <alignment vertical="center"/>
    </xf>
    <xf numFmtId="0" fontId="7" fillId="2" borderId="94" xfId="0" applyFont="1" applyFill="1" applyBorder="1" applyAlignment="1">
      <alignment horizontal="center" vertical="center" wrapText="1"/>
    </xf>
    <xf numFmtId="0" fontId="3" fillId="0" borderId="95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14" fillId="10" borderId="2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8" fillId="0" borderId="53" xfId="0" applyFont="1" applyBorder="1" applyAlignment="1">
      <alignment vertical="center" wrapText="1"/>
    </xf>
    <xf numFmtId="0" fontId="3" fillId="0" borderId="55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6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7" fillId="2" borderId="27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3" fillId="0" borderId="55" xfId="0" applyFont="1" applyBorder="1"/>
    <xf numFmtId="0" fontId="3" fillId="0" borderId="54" xfId="0" applyFont="1" applyBorder="1"/>
    <xf numFmtId="0" fontId="4" fillId="0" borderId="53" xfId="0" applyFont="1" applyBorder="1" applyAlignment="1">
      <alignment vertical="center" wrapText="1"/>
    </xf>
    <xf numFmtId="0" fontId="3" fillId="0" borderId="56" xfId="0" applyFont="1" applyBorder="1"/>
    <xf numFmtId="0" fontId="6" fillId="3" borderId="39" xfId="0" applyFont="1" applyFill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16" fillId="10" borderId="60" xfId="0" applyFont="1" applyFill="1" applyBorder="1" applyAlignment="1">
      <alignment vertical="center" wrapText="1"/>
    </xf>
    <xf numFmtId="0" fontId="3" fillId="0" borderId="49" xfId="0" applyFont="1" applyBorder="1" applyAlignment="1">
      <alignment vertical="center"/>
    </xf>
    <xf numFmtId="0" fontId="4" fillId="0" borderId="60" xfId="0" applyFont="1" applyBorder="1" applyAlignment="1">
      <alignment vertical="center" wrapText="1"/>
    </xf>
    <xf numFmtId="0" fontId="4" fillId="0" borderId="60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16" fillId="10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9" fillId="17" borderId="2" xfId="0" applyFont="1" applyFill="1" applyBorder="1" applyAlignment="1">
      <alignment vertical="center"/>
    </xf>
    <xf numFmtId="0" fontId="3" fillId="17" borderId="3" xfId="0" applyFont="1" applyFill="1" applyBorder="1" applyAlignment="1">
      <alignment vertical="center"/>
    </xf>
    <xf numFmtId="0" fontId="3" fillId="17" borderId="49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" fillId="2" borderId="93" xfId="0" applyFont="1" applyFill="1" applyBorder="1" applyAlignment="1">
      <alignment horizontal="center" vertical="center" wrapText="1"/>
    </xf>
    <xf numFmtId="0" fontId="1" fillId="2" borderId="94" xfId="0" applyFont="1" applyFill="1" applyBorder="1" applyAlignment="1">
      <alignment horizontal="center" vertical="center" wrapText="1"/>
    </xf>
    <xf numFmtId="0" fontId="1" fillId="2" borderId="94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0" fontId="9" fillId="0" borderId="82" xfId="0" applyFont="1" applyBorder="1" applyAlignment="1">
      <alignment vertical="center"/>
    </xf>
    <xf numFmtId="0" fontId="9" fillId="0" borderId="83" xfId="0" applyFont="1" applyBorder="1" applyAlignment="1">
      <alignment vertical="center"/>
    </xf>
    <xf numFmtId="0" fontId="9" fillId="0" borderId="8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" fillId="2" borderId="6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5" fillId="5" borderId="115" xfId="0" applyFont="1" applyFill="1" applyBorder="1" applyAlignment="1">
      <alignment vertical="center"/>
    </xf>
    <xf numFmtId="0" fontId="0" fillId="0" borderId="115" xfId="0" applyBorder="1" applyAlignment="1">
      <alignment vertical="center"/>
    </xf>
    <xf numFmtId="0" fontId="3" fillId="0" borderId="115" xfId="0" applyFont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0" fontId="19" fillId="17" borderId="60" xfId="0" applyFont="1" applyFill="1" applyBorder="1" applyAlignment="1">
      <alignment vertical="center"/>
    </xf>
    <xf numFmtId="0" fontId="3" fillId="17" borderId="60" xfId="0" applyFont="1" applyFill="1" applyBorder="1" applyAlignment="1">
      <alignment vertical="center"/>
    </xf>
    <xf numFmtId="0" fontId="1" fillId="2" borderId="63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4" fillId="7" borderId="85" xfId="0" applyFont="1" applyFill="1" applyBorder="1" applyAlignment="1">
      <alignment horizontal="center" vertical="center"/>
    </xf>
    <xf numFmtId="0" fontId="4" fillId="7" borderId="89" xfId="0" applyFont="1" applyFill="1" applyBorder="1" applyAlignment="1">
      <alignment horizontal="center" vertical="center"/>
    </xf>
    <xf numFmtId="0" fontId="4" fillId="7" borderId="104" xfId="0" applyFont="1" applyFill="1" applyBorder="1" applyAlignment="1">
      <alignment horizontal="center" vertical="center"/>
    </xf>
    <xf numFmtId="0" fontId="4" fillId="7" borderId="103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9" fillId="0" borderId="85" xfId="0" applyFont="1" applyBorder="1" applyAlignment="1">
      <alignment vertical="center"/>
    </xf>
    <xf numFmtId="0" fontId="9" fillId="0" borderId="89" xfId="0" applyFont="1" applyBorder="1" applyAlignment="1">
      <alignment vertical="center"/>
    </xf>
    <xf numFmtId="0" fontId="9" fillId="0" borderId="86" xfId="0" applyFont="1" applyBorder="1" applyAlignment="1">
      <alignment vertical="center"/>
    </xf>
    <xf numFmtId="0" fontId="9" fillId="0" borderId="87" xfId="0" applyFont="1" applyBorder="1" applyAlignment="1">
      <alignment vertical="center"/>
    </xf>
    <xf numFmtId="0" fontId="9" fillId="0" borderId="90" xfId="0" applyFont="1" applyBorder="1" applyAlignment="1">
      <alignment vertical="center"/>
    </xf>
    <xf numFmtId="0" fontId="9" fillId="0" borderId="88" xfId="0" applyFont="1" applyBorder="1" applyAlignment="1">
      <alignment vertical="center"/>
    </xf>
    <xf numFmtId="0" fontId="4" fillId="0" borderId="81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92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3" fillId="0" borderId="101" xfId="0" applyFont="1" applyBorder="1" applyAlignment="1">
      <alignment vertical="center"/>
    </xf>
    <xf numFmtId="0" fontId="3" fillId="0" borderId="117" xfId="0" applyFont="1" applyBorder="1" applyAlignment="1">
      <alignment vertical="center"/>
    </xf>
    <xf numFmtId="0" fontId="3" fillId="0" borderId="112" xfId="0" applyFont="1" applyBorder="1" applyAlignment="1">
      <alignment vertical="center"/>
    </xf>
    <xf numFmtId="0" fontId="4" fillId="0" borderId="81" xfId="0" applyFont="1" applyBorder="1" applyAlignment="1">
      <alignment vertical="center" wrapText="1"/>
    </xf>
    <xf numFmtId="0" fontId="3" fillId="0" borderId="85" xfId="0" applyFont="1" applyBorder="1" applyAlignment="1">
      <alignment vertical="center"/>
    </xf>
    <xf numFmtId="0" fontId="16" fillId="10" borderId="101" xfId="0" applyFont="1" applyFill="1" applyBorder="1" applyAlignment="1">
      <alignment vertical="center" wrapText="1"/>
    </xf>
    <xf numFmtId="0" fontId="6" fillId="0" borderId="82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0" fontId="6" fillId="3" borderId="82" xfId="0" applyFont="1" applyFill="1" applyBorder="1" applyAlignment="1">
      <alignment horizontal="center" vertical="center" wrapText="1"/>
    </xf>
    <xf numFmtId="0" fontId="6" fillId="3" borderId="83" xfId="0" applyFont="1" applyFill="1" applyBorder="1" applyAlignment="1">
      <alignment horizontal="center" vertical="center" wrapText="1"/>
    </xf>
    <xf numFmtId="0" fontId="6" fillId="3" borderId="91" xfId="0" applyFont="1" applyFill="1" applyBorder="1" applyAlignment="1">
      <alignment horizontal="center" vertical="center" wrapText="1"/>
    </xf>
    <xf numFmtId="0" fontId="9" fillId="9" borderId="53" xfId="0" applyFont="1" applyFill="1" applyBorder="1" applyAlignment="1">
      <alignment horizontal="left" vertical="center"/>
    </xf>
    <xf numFmtId="0" fontId="9" fillId="9" borderId="55" xfId="0" applyFont="1" applyFill="1" applyBorder="1" applyAlignment="1">
      <alignment horizontal="left" vertical="center"/>
    </xf>
    <xf numFmtId="0" fontId="9" fillId="9" borderId="54" xfId="0" applyFont="1" applyFill="1" applyBorder="1" applyAlignment="1">
      <alignment horizontal="left" vertical="center"/>
    </xf>
    <xf numFmtId="0" fontId="9" fillId="9" borderId="53" xfId="0" applyFont="1" applyFill="1" applyBorder="1" applyAlignment="1">
      <alignment horizontal="center" vertical="center"/>
    </xf>
    <xf numFmtId="0" fontId="9" fillId="9" borderId="55" xfId="0" applyFont="1" applyFill="1" applyBorder="1" applyAlignment="1">
      <alignment horizontal="center" vertical="center"/>
    </xf>
    <xf numFmtId="0" fontId="9" fillId="9" borderId="56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6" fillId="3" borderId="6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0" fontId="6" fillId="0" borderId="0" xfId="0" applyFont="1" applyAlignment="1">
      <alignment vertical="center"/>
    </xf>
    <xf numFmtId="0" fontId="7" fillId="2" borderId="32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7" fillId="2" borderId="35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vertical="center"/>
    </xf>
    <xf numFmtId="0" fontId="7" fillId="2" borderId="9" xfId="0" quotePrefix="1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7" fillId="2" borderId="43" xfId="0" applyFont="1" applyFill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7" fillId="2" borderId="37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vertical="center" wrapText="1"/>
    </xf>
    <xf numFmtId="0" fontId="13" fillId="4" borderId="47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3" fillId="4" borderId="61" xfId="0" applyFont="1" applyFill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6" fillId="10" borderId="60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vertical="center" wrapText="1"/>
    </xf>
    <xf numFmtId="0" fontId="8" fillId="0" borderId="67" xfId="0" applyFont="1" applyBorder="1" applyAlignment="1">
      <alignment vertical="center" wrapText="1"/>
    </xf>
    <xf numFmtId="0" fontId="3" fillId="0" borderId="6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3" fillId="10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vertical="center" wrapText="1"/>
    </xf>
    <xf numFmtId="0" fontId="6" fillId="10" borderId="18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14" fillId="4" borderId="2" xfId="0" applyFont="1" applyFill="1" applyBorder="1" applyAlignment="1">
      <alignment vertical="center" wrapText="1"/>
    </xf>
    <xf numFmtId="0" fontId="6" fillId="3" borderId="50" xfId="0" applyFont="1" applyFill="1" applyBorder="1" applyAlignment="1">
      <alignment vertical="center" wrapText="1"/>
    </xf>
    <xf numFmtId="0" fontId="13" fillId="8" borderId="50" xfId="0" applyFont="1" applyFill="1" applyBorder="1" applyAlignment="1">
      <alignment vertical="center" wrapText="1"/>
    </xf>
    <xf numFmtId="0" fontId="4" fillId="11" borderId="20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8" fillId="14" borderId="18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 wrapText="1"/>
    </xf>
    <xf numFmtId="0" fontId="8" fillId="14" borderId="62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48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vertical="center"/>
    </xf>
    <xf numFmtId="0" fontId="6" fillId="8" borderId="47" xfId="0" applyFont="1" applyFill="1" applyBorder="1" applyAlignment="1">
      <alignment vertical="center" wrapText="1"/>
    </xf>
    <xf numFmtId="0" fontId="6" fillId="8" borderId="50" xfId="0" applyFont="1" applyFill="1" applyBorder="1" applyAlignment="1">
      <alignment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/>
    </xf>
    <xf numFmtId="0" fontId="3" fillId="0" borderId="73" xfId="0" applyFont="1" applyBorder="1" applyAlignment="1">
      <alignment vertical="center"/>
    </xf>
    <xf numFmtId="0" fontId="7" fillId="2" borderId="74" xfId="0" applyFont="1" applyFill="1" applyBorder="1" applyAlignment="1">
      <alignment horizontal="center" vertical="center"/>
    </xf>
    <xf numFmtId="0" fontId="0" fillId="0" borderId="75" xfId="0" applyBorder="1" applyAlignment="1">
      <alignment vertical="center"/>
    </xf>
    <xf numFmtId="0" fontId="3" fillId="0" borderId="76" xfId="0" applyFont="1" applyBorder="1" applyAlignment="1">
      <alignment vertical="center"/>
    </xf>
    <xf numFmtId="0" fontId="7" fillId="2" borderId="74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vertical="center"/>
    </xf>
    <xf numFmtId="0" fontId="6" fillId="3" borderId="109" xfId="0" applyFont="1" applyFill="1" applyBorder="1" applyAlignment="1">
      <alignment vertical="center" wrapText="1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3" fillId="0" borderId="77" xfId="0" applyFont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6" fillId="5" borderId="47" xfId="0" applyFont="1" applyFill="1" applyBorder="1" applyAlignment="1">
      <alignment vertical="center" wrapText="1"/>
    </xf>
    <xf numFmtId="0" fontId="0" fillId="0" borderId="22" xfId="0" applyBorder="1"/>
    <xf numFmtId="0" fontId="3" fillId="0" borderId="40" xfId="0" applyFont="1" applyBorder="1"/>
    <xf numFmtId="0" fontId="6" fillId="3" borderId="60" xfId="0" applyFont="1" applyFill="1" applyBorder="1" applyAlignment="1">
      <alignment vertical="center" wrapText="1"/>
    </xf>
    <xf numFmtId="0" fontId="0" fillId="0" borderId="60" xfId="0" applyBorder="1" applyAlignment="1">
      <alignment vertical="center"/>
    </xf>
    <xf numFmtId="0" fontId="3" fillId="0" borderId="56" xfId="0" applyFont="1" applyBorder="1" applyAlignment="1">
      <alignment vertical="center"/>
    </xf>
    <xf numFmtId="0" fontId="4" fillId="3" borderId="63" xfId="0" applyFont="1" applyFill="1" applyBorder="1" applyAlignment="1">
      <alignment vertical="center"/>
    </xf>
    <xf numFmtId="0" fontId="9" fillId="0" borderId="60" xfId="0" applyFont="1" applyBorder="1" applyAlignment="1">
      <alignment horizontal="left"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60" xfId="0" applyFont="1" applyBorder="1" applyAlignment="1">
      <alignment vertical="top"/>
    </xf>
    <xf numFmtId="0" fontId="3" fillId="0" borderId="60" xfId="0" applyFont="1" applyBorder="1" applyAlignment="1">
      <alignment vertical="top"/>
    </xf>
    <xf numFmtId="0" fontId="7" fillId="2" borderId="93" xfId="0" applyFont="1" applyFill="1" applyBorder="1" applyAlignment="1">
      <alignment horizontal="center" vertical="center"/>
    </xf>
    <xf numFmtId="0" fontId="6" fillId="4" borderId="60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vertical="center"/>
    </xf>
    <xf numFmtId="0" fontId="4" fillId="4" borderId="81" xfId="0" applyFont="1" applyFill="1" applyBorder="1" applyAlignment="1">
      <alignment vertical="center"/>
    </xf>
    <xf numFmtId="0" fontId="7" fillId="2" borderId="63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02" xfId="0" applyFont="1" applyFill="1" applyBorder="1" applyAlignment="1">
      <alignment horizontal="left" vertical="center" wrapText="1"/>
    </xf>
    <xf numFmtId="0" fontId="2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0" fontId="2" fillId="0" borderId="84" xfId="0" applyFont="1" applyBorder="1" applyAlignment="1">
      <alignment horizontal="left" vertical="center"/>
    </xf>
    <xf numFmtId="0" fontId="6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6" borderId="81" xfId="0" applyFont="1" applyFill="1" applyBorder="1" applyAlignment="1">
      <alignment vertical="center"/>
    </xf>
    <xf numFmtId="0" fontId="2" fillId="0" borderId="60" xfId="0" applyFont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2" fillId="0" borderId="85" xfId="0" applyFont="1" applyBorder="1" applyAlignment="1">
      <alignment horizontal="left" vertical="center"/>
    </xf>
    <xf numFmtId="0" fontId="2" fillId="0" borderId="89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  <xf numFmtId="0" fontId="2" fillId="0" borderId="60" xfId="0" applyFont="1" applyBorder="1" applyAlignment="1">
      <alignment vertical="center"/>
    </xf>
    <xf numFmtId="0" fontId="6" fillId="3" borderId="60" xfId="0" applyFont="1" applyFill="1" applyBorder="1" applyAlignment="1">
      <alignment horizontal="left" vertical="center" wrapText="1"/>
    </xf>
    <xf numFmtId="0" fontId="6" fillId="3" borderId="64" xfId="0" applyFont="1" applyFill="1" applyBorder="1" applyAlignment="1">
      <alignment horizontal="left" vertical="center" wrapText="1"/>
    </xf>
    <xf numFmtId="0" fontId="4" fillId="0" borderId="60" xfId="0" applyFont="1" applyBorder="1" applyAlignment="1">
      <alignment horizontal="left" vertical="center" wrapText="1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7" fillId="2" borderId="98" xfId="0" applyFont="1" applyFill="1" applyBorder="1" applyAlignment="1">
      <alignment horizontal="center" vertical="center"/>
    </xf>
    <xf numFmtId="0" fontId="3" fillId="0" borderId="99" xfId="0" applyFont="1" applyBorder="1" applyAlignment="1">
      <alignment vertical="center"/>
    </xf>
    <xf numFmtId="0" fontId="3" fillId="0" borderId="100" xfId="0" applyFont="1" applyBorder="1" applyAlignment="1">
      <alignment vertical="center"/>
    </xf>
    <xf numFmtId="0" fontId="7" fillId="2" borderId="96" xfId="0" applyFont="1" applyFill="1" applyBorder="1" applyAlignment="1">
      <alignment horizontal="center" vertical="center"/>
    </xf>
    <xf numFmtId="0" fontId="3" fillId="0" borderId="7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95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7" fillId="2" borderId="97" xfId="0" applyFont="1" applyFill="1" applyBorder="1" applyAlignment="1">
      <alignment horizontal="center" vertical="center" wrapText="1"/>
    </xf>
    <xf numFmtId="0" fontId="3" fillId="0" borderId="79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0" fontId="6" fillId="3" borderId="61" xfId="0" applyFont="1" applyFill="1" applyBorder="1" applyAlignment="1">
      <alignment vertical="center" wrapText="1"/>
    </xf>
    <xf numFmtId="0" fontId="14" fillId="10" borderId="60" xfId="0" applyFont="1" applyFill="1" applyBorder="1" applyAlignment="1">
      <alignment vertical="center" wrapText="1"/>
    </xf>
    <xf numFmtId="0" fontId="4" fillId="0" borderId="60" xfId="0" applyFont="1" applyBorder="1" applyAlignment="1">
      <alignment vertical="top" wrapText="1"/>
    </xf>
    <xf numFmtId="0" fontId="3" fillId="0" borderId="64" xfId="0" applyFont="1" applyBorder="1" applyAlignment="1">
      <alignment vertical="top"/>
    </xf>
    <xf numFmtId="0" fontId="4" fillId="0" borderId="82" xfId="0" applyFont="1" applyBorder="1" applyAlignment="1">
      <alignment horizontal="center" vertical="top"/>
    </xf>
    <xf numFmtId="0" fontId="4" fillId="0" borderId="83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8" fillId="0" borderId="63" xfId="0" applyFont="1" applyBorder="1" applyAlignment="1">
      <alignment horizontal="center" vertical="center" wrapText="1"/>
    </xf>
    <xf numFmtId="0" fontId="6" fillId="10" borderId="85" xfId="0" applyFont="1" applyFill="1" applyBorder="1" applyAlignment="1">
      <alignment horizontal="center" vertical="center"/>
    </xf>
    <xf numFmtId="0" fontId="6" fillId="10" borderId="86" xfId="0" applyFont="1" applyFill="1" applyBorder="1" applyAlignment="1">
      <alignment horizontal="center" vertical="center"/>
    </xf>
    <xf numFmtId="0" fontId="6" fillId="10" borderId="87" xfId="0" applyFont="1" applyFill="1" applyBorder="1" applyAlignment="1">
      <alignment horizontal="center" vertical="center"/>
    </xf>
    <xf numFmtId="0" fontId="6" fillId="10" borderId="88" xfId="0" applyFont="1" applyFill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14" fillId="10" borderId="60" xfId="0" applyFont="1" applyFill="1" applyBorder="1" applyAlignment="1">
      <alignment vertical="top" wrapText="1"/>
    </xf>
    <xf numFmtId="0" fontId="8" fillId="0" borderId="81" xfId="0" applyFont="1" applyBorder="1" applyAlignment="1">
      <alignment vertical="center" wrapText="1"/>
    </xf>
    <xf numFmtId="0" fontId="4" fillId="0" borderId="63" xfId="0" applyFont="1" applyBorder="1" applyAlignment="1">
      <alignment vertical="center" wrapText="1"/>
    </xf>
    <xf numFmtId="0" fontId="4" fillId="0" borderId="22" xfId="0" applyFont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6" fillId="0" borderId="81" xfId="0" applyFont="1" applyBorder="1" applyAlignment="1">
      <alignment vertical="center"/>
    </xf>
    <xf numFmtId="0" fontId="6" fillId="0" borderId="84" xfId="0" applyFont="1" applyBorder="1" applyAlignment="1">
      <alignment horizontal="center" vertical="center"/>
    </xf>
    <xf numFmtId="0" fontId="6" fillId="16" borderId="60" xfId="0" applyFont="1" applyFill="1" applyBorder="1" applyAlignment="1">
      <alignment vertical="center"/>
    </xf>
    <xf numFmtId="0" fontId="3" fillId="16" borderId="60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4" fillId="0" borderId="63" xfId="0" applyFont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3" borderId="49" xfId="0" applyFont="1" applyFill="1" applyBorder="1" applyAlignment="1">
      <alignment vertical="center" wrapText="1"/>
    </xf>
    <xf numFmtId="0" fontId="4" fillId="0" borderId="84" xfId="0" applyFont="1" applyBorder="1" applyAlignment="1">
      <alignment horizontal="center" vertical="top"/>
    </xf>
    <xf numFmtId="0" fontId="3" fillId="0" borderId="60" xfId="0" applyFont="1" applyBorder="1" applyAlignment="1">
      <alignment horizontal="left" vertical="center"/>
    </xf>
    <xf numFmtId="0" fontId="4" fillId="0" borderId="101" xfId="0" applyFont="1" applyBorder="1" applyAlignment="1">
      <alignment vertical="center" wrapText="1"/>
    </xf>
    <xf numFmtId="0" fontId="4" fillId="0" borderId="115" xfId="0" applyFont="1" applyBorder="1" applyAlignment="1">
      <alignment vertical="center" wrapText="1"/>
    </xf>
    <xf numFmtId="0" fontId="7" fillId="2" borderId="63" xfId="0" applyFont="1" applyFill="1" applyBorder="1" applyAlignment="1">
      <alignment horizontal="center" vertical="center"/>
    </xf>
    <xf numFmtId="0" fontId="6" fillId="3" borderId="82" xfId="0" applyFont="1" applyFill="1" applyBorder="1" applyAlignment="1">
      <alignment horizontal="left" vertical="center" wrapText="1"/>
    </xf>
    <xf numFmtId="0" fontId="6" fillId="3" borderId="83" xfId="0" applyFont="1" applyFill="1" applyBorder="1" applyAlignment="1">
      <alignment horizontal="left" vertical="center" wrapText="1"/>
    </xf>
    <xf numFmtId="0" fontId="6" fillId="3" borderId="91" xfId="0" applyFont="1" applyFill="1" applyBorder="1" applyAlignment="1">
      <alignment horizontal="left" vertical="center" wrapText="1"/>
    </xf>
    <xf numFmtId="0" fontId="6" fillId="0" borderId="85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90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15" fillId="10" borderId="63" xfId="0" applyFont="1" applyFill="1" applyBorder="1" applyAlignment="1">
      <alignment vertical="center" wrapText="1"/>
    </xf>
    <xf numFmtId="0" fontId="15" fillId="10" borderId="60" xfId="0" applyFont="1" applyFill="1" applyBorder="1" applyAlignment="1">
      <alignment vertical="center" wrapText="1"/>
    </xf>
    <xf numFmtId="0" fontId="4" fillId="0" borderId="116" xfId="0" applyFont="1" applyBorder="1" applyAlignment="1">
      <alignment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4" borderId="49" xfId="0" applyFont="1" applyFill="1" applyBorder="1" applyAlignment="1">
      <alignment horizontal="center" vertical="center" wrapText="1"/>
    </xf>
    <xf numFmtId="0" fontId="4" fillId="0" borderId="114" xfId="0" applyFont="1" applyBorder="1" applyAlignment="1">
      <alignment vertical="center" wrapText="1"/>
    </xf>
    <xf numFmtId="0" fontId="2" fillId="7" borderId="60" xfId="0" applyFont="1" applyFill="1" applyBorder="1" applyAlignment="1">
      <alignment vertical="top"/>
    </xf>
    <xf numFmtId="0" fontId="0" fillId="0" borderId="60" xfId="0" applyBorder="1" applyAlignment="1">
      <alignment vertical="top"/>
    </xf>
    <xf numFmtId="0" fontId="0" fillId="0" borderId="64" xfId="0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1524000</xdr:colOff>
      <xdr:row>1</xdr:row>
      <xdr:rowOff>66675</xdr:rowOff>
    </xdr:from>
    <xdr:ext cx="895350" cy="8953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0000"/>
    <outlinePr summaryBelow="0" summaryRight="0"/>
  </sheetPr>
  <dimension ref="A1:AM1095"/>
  <sheetViews>
    <sheetView showGridLines="0" tabSelected="1" view="pageBreakPreview" topLeftCell="A50" zoomScale="85" zoomScaleNormal="85" zoomScaleSheetLayoutView="85" workbookViewId="0">
      <selection activeCell="S78" sqref="S78"/>
    </sheetView>
  </sheetViews>
  <sheetFormatPr defaultColWidth="12.5703125" defaultRowHeight="15" customHeight="1" outlineLevelRow="1" x14ac:dyDescent="0.2"/>
  <cols>
    <col min="1" max="1" width="54.28515625" style="65" customWidth="1"/>
    <col min="2" max="4" width="9.42578125" style="65" customWidth="1"/>
    <col min="5" max="10" width="6.85546875" style="65" customWidth="1"/>
    <col min="11" max="11" width="6.7109375" style="65" customWidth="1"/>
    <col min="12" max="14" width="7.42578125" style="65" customWidth="1"/>
    <col min="15" max="15" width="15.7109375" style="65" customWidth="1"/>
    <col min="16" max="16" width="23" style="65" customWidth="1"/>
    <col min="17" max="19" width="9.28515625" style="65" customWidth="1"/>
    <col min="20" max="39" width="6.85546875" style="65" customWidth="1"/>
    <col min="40" max="16384" width="12.5703125" style="65"/>
  </cols>
  <sheetData>
    <row r="1" spans="1:39" ht="15.75" customHeight="1" x14ac:dyDescent="0.2">
      <c r="A1" s="317"/>
      <c r="B1" s="61"/>
      <c r="C1" s="61"/>
      <c r="D1" s="320" t="s">
        <v>167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61"/>
      <c r="T1" s="442" t="s">
        <v>168</v>
      </c>
      <c r="U1" s="443"/>
      <c r="V1" s="443"/>
      <c r="W1" s="443"/>
      <c r="X1" s="443"/>
      <c r="Y1" s="44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</row>
    <row r="2" spans="1:39" ht="15.75" customHeight="1" x14ac:dyDescent="0.2">
      <c r="A2" s="318"/>
      <c r="B2" s="61"/>
      <c r="C2" s="61"/>
      <c r="D2" s="320" t="s">
        <v>169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61"/>
      <c r="T2" s="443"/>
      <c r="U2" s="443"/>
      <c r="V2" s="443"/>
      <c r="W2" s="443"/>
      <c r="X2" s="443"/>
      <c r="Y2" s="44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39" ht="15.75" customHeight="1" x14ac:dyDescent="0.2">
      <c r="A3" s="318"/>
      <c r="B3" s="61"/>
      <c r="C3" s="61"/>
      <c r="D3" s="320" t="s">
        <v>170</v>
      </c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61"/>
      <c r="T3" s="443"/>
      <c r="U3" s="443"/>
      <c r="V3" s="443"/>
      <c r="W3" s="443"/>
      <c r="X3" s="443"/>
      <c r="Y3" s="44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15.75" customHeight="1" x14ac:dyDescent="0.2">
      <c r="A4" s="318"/>
      <c r="B4" s="61"/>
      <c r="C4" s="61"/>
      <c r="D4" s="320" t="s">
        <v>171</v>
      </c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61"/>
      <c r="T4" s="443"/>
      <c r="U4" s="443"/>
      <c r="V4" s="443"/>
      <c r="W4" s="443"/>
      <c r="X4" s="443"/>
      <c r="Y4" s="44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15.75" customHeight="1" x14ac:dyDescent="0.2">
      <c r="A5" s="318"/>
      <c r="B5" s="61"/>
      <c r="C5" s="61"/>
      <c r="D5" s="320" t="s">
        <v>172</v>
      </c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61"/>
      <c r="T5" s="443"/>
      <c r="U5" s="443"/>
      <c r="V5" s="443"/>
      <c r="W5" s="443"/>
      <c r="X5" s="443"/>
      <c r="Y5" s="44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1:39" ht="15.75" customHeight="1" x14ac:dyDescent="0.2">
      <c r="A6" s="318"/>
      <c r="B6" s="61"/>
      <c r="C6" s="61"/>
      <c r="D6" s="320" t="s">
        <v>173</v>
      </c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61"/>
      <c r="T6" s="443"/>
      <c r="U6" s="443"/>
      <c r="V6" s="443"/>
      <c r="W6" s="443"/>
      <c r="X6" s="443"/>
      <c r="Y6" s="44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</row>
    <row r="7" spans="1:39" ht="15.75" customHeight="1" thickBot="1" x14ac:dyDescent="0.25">
      <c r="A7" s="319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443"/>
      <c r="U7" s="443"/>
      <c r="V7" s="443"/>
      <c r="W7" s="443"/>
      <c r="X7" s="443"/>
      <c r="Y7" s="44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ht="15.75" customHeight="1" x14ac:dyDescent="0.2">
      <c r="A8" s="321" t="s">
        <v>174</v>
      </c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ht="15.75" customHeight="1" outlineLevel="1" x14ac:dyDescent="0.2">
      <c r="A9" s="324" t="s">
        <v>175</v>
      </c>
      <c r="B9" s="218"/>
      <c r="C9" s="218"/>
      <c r="D9" s="219"/>
      <c r="E9" s="223" t="s">
        <v>176</v>
      </c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5"/>
      <c r="Q9" s="217" t="s">
        <v>177</v>
      </c>
      <c r="R9" s="218"/>
      <c r="S9" s="218"/>
      <c r="T9" s="219"/>
      <c r="U9" s="217" t="s">
        <v>0</v>
      </c>
      <c r="V9" s="218"/>
      <c r="W9" s="218"/>
      <c r="X9" s="218"/>
      <c r="Y9" s="226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1:39" ht="15.75" customHeight="1" outlineLevel="1" x14ac:dyDescent="0.2">
      <c r="A10" s="325"/>
      <c r="B10" s="221"/>
      <c r="C10" s="221"/>
      <c r="D10" s="222"/>
      <c r="E10" s="326" t="s">
        <v>178</v>
      </c>
      <c r="F10" s="224"/>
      <c r="G10" s="224"/>
      <c r="H10" s="225"/>
      <c r="I10" s="223" t="s">
        <v>179</v>
      </c>
      <c r="J10" s="224"/>
      <c r="K10" s="224"/>
      <c r="L10" s="225"/>
      <c r="M10" s="223" t="s">
        <v>180</v>
      </c>
      <c r="N10" s="224"/>
      <c r="O10" s="224"/>
      <c r="P10" s="225"/>
      <c r="Q10" s="220"/>
      <c r="R10" s="221"/>
      <c r="S10" s="221"/>
      <c r="T10" s="222"/>
      <c r="U10" s="220"/>
      <c r="V10" s="221"/>
      <c r="W10" s="221"/>
      <c r="X10" s="221"/>
      <c r="Y10" s="227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27" customHeight="1" outlineLevel="1" x14ac:dyDescent="0.2">
      <c r="A11" s="331" t="s">
        <v>5</v>
      </c>
      <c r="B11" s="319"/>
      <c r="C11" s="319"/>
      <c r="D11" s="328"/>
      <c r="E11" s="327"/>
      <c r="F11" s="319"/>
      <c r="G11" s="319"/>
      <c r="H11" s="328"/>
      <c r="I11" s="327"/>
      <c r="J11" s="319"/>
      <c r="K11" s="319"/>
      <c r="L11" s="328"/>
      <c r="M11" s="327"/>
      <c r="N11" s="319"/>
      <c r="O11" s="319"/>
      <c r="P11" s="328"/>
      <c r="Q11" s="327"/>
      <c r="R11" s="319"/>
      <c r="S11" s="319"/>
      <c r="T11" s="328"/>
      <c r="U11" s="327"/>
      <c r="V11" s="319"/>
      <c r="W11" s="319"/>
      <c r="X11" s="319"/>
      <c r="Y11" s="237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15.75" customHeight="1" outlineLevel="1" x14ac:dyDescent="0.2">
      <c r="A12" s="332" t="s">
        <v>181</v>
      </c>
      <c r="B12" s="329" t="s">
        <v>478</v>
      </c>
      <c r="C12" s="218"/>
      <c r="D12" s="218"/>
      <c r="E12" s="219"/>
      <c r="F12" s="223" t="s">
        <v>182</v>
      </c>
      <c r="G12" s="224"/>
      <c r="H12" s="224"/>
      <c r="I12" s="224"/>
      <c r="J12" s="224"/>
      <c r="K12" s="224"/>
      <c r="L12" s="224"/>
      <c r="M12" s="225"/>
      <c r="N12" s="217" t="s">
        <v>183</v>
      </c>
      <c r="O12" s="218"/>
      <c r="P12" s="218"/>
      <c r="Q12" s="219"/>
      <c r="R12" s="329" t="s">
        <v>481</v>
      </c>
      <c r="S12" s="218"/>
      <c r="T12" s="218"/>
      <c r="U12" s="219"/>
      <c r="V12" s="329" t="s">
        <v>482</v>
      </c>
      <c r="W12" s="218"/>
      <c r="X12" s="218"/>
      <c r="Y12" s="226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1:39" ht="26.25" customHeight="1" outlineLevel="1" x14ac:dyDescent="0.2">
      <c r="A13" s="333"/>
      <c r="B13" s="220"/>
      <c r="C13" s="221"/>
      <c r="D13" s="221"/>
      <c r="E13" s="222"/>
      <c r="F13" s="330" t="s">
        <v>479</v>
      </c>
      <c r="G13" s="224"/>
      <c r="H13" s="224"/>
      <c r="I13" s="225"/>
      <c r="J13" s="330" t="s">
        <v>480</v>
      </c>
      <c r="K13" s="224"/>
      <c r="L13" s="224"/>
      <c r="M13" s="225"/>
      <c r="N13" s="220"/>
      <c r="O13" s="221"/>
      <c r="P13" s="221"/>
      <c r="Q13" s="222"/>
      <c r="R13" s="220"/>
      <c r="S13" s="221"/>
      <c r="T13" s="221"/>
      <c r="U13" s="222"/>
      <c r="V13" s="220"/>
      <c r="W13" s="221"/>
      <c r="X13" s="221"/>
      <c r="Y13" s="227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</row>
    <row r="14" spans="1:39" ht="15.75" customHeight="1" outlineLevel="1" x14ac:dyDescent="0.2">
      <c r="A14" s="333"/>
      <c r="B14" s="223" t="s">
        <v>176</v>
      </c>
      <c r="C14" s="224"/>
      <c r="D14" s="225"/>
      <c r="E14" s="215" t="s">
        <v>1</v>
      </c>
      <c r="F14" s="223" t="s">
        <v>176</v>
      </c>
      <c r="G14" s="224"/>
      <c r="H14" s="225"/>
      <c r="I14" s="215" t="s">
        <v>1</v>
      </c>
      <c r="J14" s="223" t="s">
        <v>176</v>
      </c>
      <c r="K14" s="224"/>
      <c r="L14" s="225"/>
      <c r="M14" s="215" t="s">
        <v>1</v>
      </c>
      <c r="N14" s="223" t="s">
        <v>176</v>
      </c>
      <c r="O14" s="224"/>
      <c r="P14" s="225"/>
      <c r="Q14" s="215" t="s">
        <v>1</v>
      </c>
      <c r="R14" s="223" t="s">
        <v>176</v>
      </c>
      <c r="S14" s="224"/>
      <c r="T14" s="225"/>
      <c r="U14" s="215" t="s">
        <v>1</v>
      </c>
      <c r="V14" s="223" t="s">
        <v>176</v>
      </c>
      <c r="W14" s="224"/>
      <c r="X14" s="225"/>
      <c r="Y14" s="335" t="s">
        <v>1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</row>
    <row r="15" spans="1:39" ht="15.75" customHeight="1" outlineLevel="1" x14ac:dyDescent="0.2">
      <c r="A15" s="334"/>
      <c r="B15" s="2" t="s">
        <v>2</v>
      </c>
      <c r="C15" s="59" t="s">
        <v>3</v>
      </c>
      <c r="D15" s="59" t="s">
        <v>4</v>
      </c>
      <c r="E15" s="216"/>
      <c r="F15" s="2" t="s">
        <v>2</v>
      </c>
      <c r="G15" s="59" t="s">
        <v>3</v>
      </c>
      <c r="H15" s="59" t="s">
        <v>4</v>
      </c>
      <c r="I15" s="216"/>
      <c r="J15" s="2" t="s">
        <v>2</v>
      </c>
      <c r="K15" s="59" t="s">
        <v>3</v>
      </c>
      <c r="L15" s="59" t="s">
        <v>4</v>
      </c>
      <c r="M15" s="216"/>
      <c r="N15" s="2" t="s">
        <v>2</v>
      </c>
      <c r="O15" s="59" t="s">
        <v>3</v>
      </c>
      <c r="P15" s="59" t="s">
        <v>4</v>
      </c>
      <c r="Q15" s="216"/>
      <c r="R15" s="2" t="s">
        <v>2</v>
      </c>
      <c r="S15" s="59" t="s">
        <v>3</v>
      </c>
      <c r="T15" s="59" t="s">
        <v>4</v>
      </c>
      <c r="U15" s="216"/>
      <c r="V15" s="2" t="s">
        <v>2</v>
      </c>
      <c r="W15" s="59" t="s">
        <v>3</v>
      </c>
      <c r="X15" s="59" t="s">
        <v>4</v>
      </c>
      <c r="Y15" s="336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</row>
    <row r="16" spans="1:39" ht="15.75" customHeight="1" outlineLevel="1" x14ac:dyDescent="0.2">
      <c r="A16" s="25" t="s">
        <v>19</v>
      </c>
      <c r="B16" s="7"/>
      <c r="C16" s="7"/>
      <c r="D16" s="7"/>
      <c r="E16" s="182">
        <f>SUM(B16:D16)</f>
        <v>0</v>
      </c>
      <c r="F16" s="7"/>
      <c r="G16" s="7"/>
      <c r="H16" s="7"/>
      <c r="I16" s="182">
        <f>SUM(F16:H16)</f>
        <v>0</v>
      </c>
      <c r="J16" s="7"/>
      <c r="K16" s="7"/>
      <c r="L16" s="7"/>
      <c r="M16" s="182">
        <f>SUM(J16:L16)</f>
        <v>0</v>
      </c>
      <c r="N16" s="7"/>
      <c r="O16" s="7"/>
      <c r="P16" s="7"/>
      <c r="Q16" s="182">
        <f>SUM(N16:P16)</f>
        <v>0</v>
      </c>
      <c r="R16" s="7">
        <f t="shared" ref="R16:T18" si="0">B16+F16+J16-N16</f>
        <v>0</v>
      </c>
      <c r="S16" s="7">
        <f t="shared" si="0"/>
        <v>0</v>
      </c>
      <c r="T16" s="7">
        <f t="shared" si="0"/>
        <v>0</v>
      </c>
      <c r="U16" s="182">
        <f>SUM(R16:T16)</f>
        <v>0</v>
      </c>
      <c r="V16" s="7"/>
      <c r="W16" s="7"/>
      <c r="X16" s="7"/>
      <c r="Y16" s="182">
        <f>SUM(V16:X16)</f>
        <v>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ht="15.75" customHeight="1" outlineLevel="1" x14ac:dyDescent="0.2">
      <c r="A17" s="25" t="s">
        <v>20</v>
      </c>
      <c r="B17" s="7"/>
      <c r="C17" s="7"/>
      <c r="D17" s="7"/>
      <c r="E17" s="182">
        <f t="shared" ref="E17:E33" si="1">SUM(B17:D17)</f>
        <v>0</v>
      </c>
      <c r="F17" s="7"/>
      <c r="G17" s="7"/>
      <c r="H17" s="7"/>
      <c r="I17" s="182">
        <f t="shared" ref="I17:I33" si="2">SUM(F17:H17)</f>
        <v>0</v>
      </c>
      <c r="J17" s="7"/>
      <c r="K17" s="7"/>
      <c r="L17" s="7"/>
      <c r="M17" s="182">
        <f t="shared" ref="M17:M33" si="3">SUM(J17:L17)</f>
        <v>0</v>
      </c>
      <c r="N17" s="7"/>
      <c r="O17" s="7"/>
      <c r="P17" s="7"/>
      <c r="Q17" s="182">
        <f t="shared" ref="Q17:Q33" si="4">SUM(N17:P17)</f>
        <v>0</v>
      </c>
      <c r="R17" s="7">
        <f t="shared" si="0"/>
        <v>0</v>
      </c>
      <c r="S17" s="7">
        <f t="shared" si="0"/>
        <v>0</v>
      </c>
      <c r="T17" s="7">
        <f t="shared" si="0"/>
        <v>0</v>
      </c>
      <c r="U17" s="182">
        <f t="shared" ref="U17:U33" si="5">SUM(R17:T17)</f>
        <v>0</v>
      </c>
      <c r="V17" s="7"/>
      <c r="W17" s="7"/>
      <c r="X17" s="7"/>
      <c r="Y17" s="182">
        <f t="shared" ref="Y17:Y33" si="6">SUM(V17:X17)</f>
        <v>0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1:39" ht="15.75" customHeight="1" outlineLevel="1" x14ac:dyDescent="0.2">
      <c r="A18" s="25" t="s">
        <v>6</v>
      </c>
      <c r="B18" s="7"/>
      <c r="C18" s="7"/>
      <c r="D18" s="7"/>
      <c r="E18" s="182">
        <f t="shared" si="1"/>
        <v>0</v>
      </c>
      <c r="F18" s="7"/>
      <c r="G18" s="7"/>
      <c r="H18" s="7"/>
      <c r="I18" s="182">
        <f t="shared" si="2"/>
        <v>0</v>
      </c>
      <c r="J18" s="7"/>
      <c r="K18" s="7"/>
      <c r="L18" s="7"/>
      <c r="M18" s="182">
        <f t="shared" si="3"/>
        <v>0</v>
      </c>
      <c r="N18" s="7"/>
      <c r="O18" s="7"/>
      <c r="P18" s="7"/>
      <c r="Q18" s="182">
        <f t="shared" si="4"/>
        <v>0</v>
      </c>
      <c r="R18" s="7">
        <f t="shared" si="0"/>
        <v>0</v>
      </c>
      <c r="S18" s="7">
        <f t="shared" si="0"/>
        <v>0</v>
      </c>
      <c r="T18" s="7">
        <f t="shared" si="0"/>
        <v>0</v>
      </c>
      <c r="U18" s="182">
        <f t="shared" si="5"/>
        <v>0</v>
      </c>
      <c r="V18" s="7"/>
      <c r="W18" s="7"/>
      <c r="X18" s="7"/>
      <c r="Y18" s="182">
        <f t="shared" si="6"/>
        <v>0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 ht="15.75" customHeight="1" outlineLevel="1" x14ac:dyDescent="0.2">
      <c r="A19" s="25" t="s">
        <v>7</v>
      </c>
      <c r="B19" s="7">
        <f>SUM(B20:B21)</f>
        <v>0</v>
      </c>
      <c r="C19" s="7">
        <f>SUM(C20:C21)</f>
        <v>0</v>
      </c>
      <c r="D19" s="7">
        <f>SUM(D20:D21)</f>
        <v>0</v>
      </c>
      <c r="E19" s="182">
        <f t="shared" si="1"/>
        <v>0</v>
      </c>
      <c r="F19" s="7">
        <f>SUM(F20:F21)</f>
        <v>0</v>
      </c>
      <c r="G19" s="7">
        <f>SUM(G20:G21)</f>
        <v>0</v>
      </c>
      <c r="H19" s="7">
        <f>SUM(H20:H21)</f>
        <v>0</v>
      </c>
      <c r="I19" s="182">
        <f t="shared" si="2"/>
        <v>0</v>
      </c>
      <c r="J19" s="7">
        <f>SUM(J20:J21)</f>
        <v>0</v>
      </c>
      <c r="K19" s="7">
        <f>SUM(K20:K21)</f>
        <v>0</v>
      </c>
      <c r="L19" s="7">
        <f>SUM(L20:L21)</f>
        <v>0</v>
      </c>
      <c r="M19" s="182">
        <f t="shared" si="3"/>
        <v>0</v>
      </c>
      <c r="N19" s="7">
        <f>SUM(N20:N21)</f>
        <v>0</v>
      </c>
      <c r="O19" s="7">
        <f>SUM(O20:O21)</f>
        <v>0</v>
      </c>
      <c r="P19" s="7">
        <f>SUM(P20:P21)</f>
        <v>0</v>
      </c>
      <c r="Q19" s="182">
        <f t="shared" si="4"/>
        <v>0</v>
      </c>
      <c r="R19" s="7">
        <f>SUM(R20:R21)</f>
        <v>0</v>
      </c>
      <c r="S19" s="7">
        <f>SUM(S20:S21)</f>
        <v>0</v>
      </c>
      <c r="T19" s="7">
        <f>SUM(T20:T21)</f>
        <v>0</v>
      </c>
      <c r="U19" s="182">
        <f t="shared" si="5"/>
        <v>0</v>
      </c>
      <c r="V19" s="7">
        <f>SUM(V20:V21)</f>
        <v>0</v>
      </c>
      <c r="W19" s="7">
        <f>SUM(W20:W21)</f>
        <v>0</v>
      </c>
      <c r="X19" s="7">
        <f>SUM(X20:X21)</f>
        <v>0</v>
      </c>
      <c r="Y19" s="182">
        <f t="shared" si="6"/>
        <v>0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</row>
    <row r="20" spans="1:39" ht="15.75" customHeight="1" outlineLevel="1" x14ac:dyDescent="0.2">
      <c r="A20" s="25" t="s">
        <v>8</v>
      </c>
      <c r="B20" s="7"/>
      <c r="C20" s="7"/>
      <c r="D20" s="7"/>
      <c r="E20" s="182">
        <f t="shared" si="1"/>
        <v>0</v>
      </c>
      <c r="F20" s="7"/>
      <c r="G20" s="7"/>
      <c r="H20" s="7"/>
      <c r="I20" s="182">
        <f t="shared" si="2"/>
        <v>0</v>
      </c>
      <c r="J20" s="7"/>
      <c r="K20" s="7"/>
      <c r="L20" s="7"/>
      <c r="M20" s="182">
        <f t="shared" si="3"/>
        <v>0</v>
      </c>
      <c r="N20" s="7"/>
      <c r="O20" s="7"/>
      <c r="P20" s="7"/>
      <c r="Q20" s="182">
        <f t="shared" si="4"/>
        <v>0</v>
      </c>
      <c r="R20" s="7">
        <f t="shared" ref="R20:T22" si="7">B20+F20+J20-N20</f>
        <v>0</v>
      </c>
      <c r="S20" s="7">
        <f t="shared" si="7"/>
        <v>0</v>
      </c>
      <c r="T20" s="7">
        <f t="shared" si="7"/>
        <v>0</v>
      </c>
      <c r="U20" s="182">
        <f t="shared" si="5"/>
        <v>0</v>
      </c>
      <c r="V20" s="7"/>
      <c r="W20" s="7"/>
      <c r="X20" s="7"/>
      <c r="Y20" s="182">
        <f t="shared" si="6"/>
        <v>0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1:39" ht="15.75" customHeight="1" outlineLevel="1" x14ac:dyDescent="0.2">
      <c r="A21" s="25" t="s">
        <v>9</v>
      </c>
      <c r="B21" s="7"/>
      <c r="C21" s="7"/>
      <c r="D21" s="7"/>
      <c r="E21" s="182">
        <f t="shared" si="1"/>
        <v>0</v>
      </c>
      <c r="F21" s="7"/>
      <c r="G21" s="7"/>
      <c r="H21" s="7"/>
      <c r="I21" s="182">
        <f t="shared" si="2"/>
        <v>0</v>
      </c>
      <c r="J21" s="7"/>
      <c r="K21" s="7"/>
      <c r="L21" s="7"/>
      <c r="M21" s="182">
        <f t="shared" si="3"/>
        <v>0</v>
      </c>
      <c r="N21" s="7"/>
      <c r="O21" s="7"/>
      <c r="P21" s="7"/>
      <c r="Q21" s="182">
        <f t="shared" si="4"/>
        <v>0</v>
      </c>
      <c r="R21" s="7">
        <f t="shared" si="7"/>
        <v>0</v>
      </c>
      <c r="S21" s="7">
        <f t="shared" si="7"/>
        <v>0</v>
      </c>
      <c r="T21" s="7">
        <f t="shared" si="7"/>
        <v>0</v>
      </c>
      <c r="U21" s="182">
        <f t="shared" si="5"/>
        <v>0</v>
      </c>
      <c r="V21" s="7"/>
      <c r="W21" s="7"/>
      <c r="X21" s="7"/>
      <c r="Y21" s="182">
        <f t="shared" si="6"/>
        <v>0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1:39" ht="15.75" customHeight="1" outlineLevel="1" x14ac:dyDescent="0.2">
      <c r="A22" s="25" t="s">
        <v>21</v>
      </c>
      <c r="B22" s="7"/>
      <c r="C22" s="7"/>
      <c r="D22" s="7"/>
      <c r="E22" s="182">
        <f t="shared" si="1"/>
        <v>0</v>
      </c>
      <c r="F22" s="7"/>
      <c r="G22" s="7"/>
      <c r="H22" s="7"/>
      <c r="I22" s="182">
        <f t="shared" si="2"/>
        <v>0</v>
      </c>
      <c r="J22" s="7"/>
      <c r="K22" s="7"/>
      <c r="L22" s="7"/>
      <c r="M22" s="182">
        <f t="shared" si="3"/>
        <v>0</v>
      </c>
      <c r="N22" s="7"/>
      <c r="O22" s="7"/>
      <c r="P22" s="7"/>
      <c r="Q22" s="182">
        <f t="shared" si="4"/>
        <v>0</v>
      </c>
      <c r="R22" s="7">
        <f t="shared" si="7"/>
        <v>0</v>
      </c>
      <c r="S22" s="7">
        <f t="shared" si="7"/>
        <v>0</v>
      </c>
      <c r="T22" s="7">
        <f t="shared" si="7"/>
        <v>0</v>
      </c>
      <c r="U22" s="182">
        <f t="shared" si="5"/>
        <v>0</v>
      </c>
      <c r="V22" s="7"/>
      <c r="W22" s="7"/>
      <c r="X22" s="7"/>
      <c r="Y22" s="182">
        <f t="shared" si="6"/>
        <v>0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</row>
    <row r="23" spans="1:39" ht="15.75" customHeight="1" outlineLevel="1" x14ac:dyDescent="0.2">
      <c r="A23" s="25" t="s">
        <v>10</v>
      </c>
      <c r="B23" s="7">
        <f>SUM(B24:B25)</f>
        <v>0</v>
      </c>
      <c r="C23" s="7">
        <f>SUM(C24:C25)</f>
        <v>0</v>
      </c>
      <c r="D23" s="7">
        <f>SUM(D24:D25)</f>
        <v>0</v>
      </c>
      <c r="E23" s="182">
        <f t="shared" si="1"/>
        <v>0</v>
      </c>
      <c r="F23" s="7">
        <f>SUM(F24:F25)</f>
        <v>0</v>
      </c>
      <c r="G23" s="7">
        <f>SUM(G24:G25)</f>
        <v>0</v>
      </c>
      <c r="H23" s="7">
        <f>SUM(H24:H25)</f>
        <v>0</v>
      </c>
      <c r="I23" s="182">
        <f t="shared" si="2"/>
        <v>0</v>
      </c>
      <c r="J23" s="7">
        <f>SUM(J24:J25)</f>
        <v>0</v>
      </c>
      <c r="K23" s="7">
        <f>SUM(K24:K25)</f>
        <v>0</v>
      </c>
      <c r="L23" s="7">
        <f>SUM(L24:L25)</f>
        <v>0</v>
      </c>
      <c r="M23" s="182">
        <f t="shared" si="3"/>
        <v>0</v>
      </c>
      <c r="N23" s="7">
        <f>SUM(N24:N25)</f>
        <v>0</v>
      </c>
      <c r="O23" s="7">
        <f>SUM(O24:O25)</f>
        <v>0</v>
      </c>
      <c r="P23" s="7">
        <f>SUM(P24:P25)</f>
        <v>0</v>
      </c>
      <c r="Q23" s="182">
        <f t="shared" si="4"/>
        <v>0</v>
      </c>
      <c r="R23" s="7">
        <f>SUM(R24:R25)</f>
        <v>0</v>
      </c>
      <c r="S23" s="7">
        <f>SUM(S24:S25)</f>
        <v>0</v>
      </c>
      <c r="T23" s="7">
        <f>SUM(T24:T25)</f>
        <v>0</v>
      </c>
      <c r="U23" s="182">
        <f t="shared" si="5"/>
        <v>0</v>
      </c>
      <c r="V23" s="7">
        <f>SUM(V24:V25)</f>
        <v>0</v>
      </c>
      <c r="W23" s="7">
        <f>SUM(W24:W25)</f>
        <v>0</v>
      </c>
      <c r="X23" s="7">
        <f>SUM(X24:X25)</f>
        <v>0</v>
      </c>
      <c r="Y23" s="182">
        <f t="shared" si="6"/>
        <v>0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39" ht="15.75" customHeight="1" outlineLevel="1" x14ac:dyDescent="0.2">
      <c r="A24" s="25" t="s">
        <v>184</v>
      </c>
      <c r="B24" s="7"/>
      <c r="C24" s="7"/>
      <c r="D24" s="7"/>
      <c r="E24" s="182">
        <f t="shared" si="1"/>
        <v>0</v>
      </c>
      <c r="F24" s="7"/>
      <c r="G24" s="7"/>
      <c r="H24" s="7"/>
      <c r="I24" s="182">
        <f t="shared" si="2"/>
        <v>0</v>
      </c>
      <c r="J24" s="7"/>
      <c r="K24" s="7"/>
      <c r="L24" s="7"/>
      <c r="M24" s="182">
        <f t="shared" si="3"/>
        <v>0</v>
      </c>
      <c r="N24" s="7"/>
      <c r="O24" s="7"/>
      <c r="P24" s="7"/>
      <c r="Q24" s="182">
        <f t="shared" si="4"/>
        <v>0</v>
      </c>
      <c r="R24" s="7">
        <f t="shared" ref="R24:T25" si="8">B24+F24+J24-N24</f>
        <v>0</v>
      </c>
      <c r="S24" s="7">
        <f t="shared" si="8"/>
        <v>0</v>
      </c>
      <c r="T24" s="7">
        <f t="shared" si="8"/>
        <v>0</v>
      </c>
      <c r="U24" s="182">
        <f t="shared" si="5"/>
        <v>0</v>
      </c>
      <c r="V24" s="7"/>
      <c r="W24" s="7"/>
      <c r="X24" s="7"/>
      <c r="Y24" s="182">
        <f t="shared" si="6"/>
        <v>0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</row>
    <row r="25" spans="1:39" ht="15.75" customHeight="1" outlineLevel="1" x14ac:dyDescent="0.2">
      <c r="A25" s="25" t="s">
        <v>185</v>
      </c>
      <c r="B25" s="7"/>
      <c r="C25" s="7"/>
      <c r="D25" s="7"/>
      <c r="E25" s="182">
        <f t="shared" si="1"/>
        <v>0</v>
      </c>
      <c r="F25" s="7"/>
      <c r="G25" s="7"/>
      <c r="H25" s="7"/>
      <c r="I25" s="182">
        <f t="shared" si="2"/>
        <v>0</v>
      </c>
      <c r="J25" s="7"/>
      <c r="K25" s="7"/>
      <c r="L25" s="7"/>
      <c r="M25" s="182">
        <f t="shared" si="3"/>
        <v>0</v>
      </c>
      <c r="N25" s="7"/>
      <c r="O25" s="7"/>
      <c r="P25" s="7"/>
      <c r="Q25" s="182">
        <f t="shared" si="4"/>
        <v>0</v>
      </c>
      <c r="R25" s="7">
        <f t="shared" si="8"/>
        <v>0</v>
      </c>
      <c r="S25" s="7">
        <f t="shared" si="8"/>
        <v>0</v>
      </c>
      <c r="T25" s="7">
        <f t="shared" si="8"/>
        <v>0</v>
      </c>
      <c r="U25" s="182">
        <f t="shared" si="5"/>
        <v>0</v>
      </c>
      <c r="V25" s="7"/>
      <c r="W25" s="7"/>
      <c r="X25" s="7"/>
      <c r="Y25" s="182">
        <f t="shared" si="6"/>
        <v>0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 ht="15.75" customHeight="1" outlineLevel="1" x14ac:dyDescent="0.2">
      <c r="A26" s="25" t="s">
        <v>11</v>
      </c>
      <c r="B26" s="7">
        <f>SUM(B27:B28)</f>
        <v>0</v>
      </c>
      <c r="C26" s="7">
        <f>SUM(C27:C28)</f>
        <v>0</v>
      </c>
      <c r="D26" s="7">
        <f>SUM(D27:D28)</f>
        <v>0</v>
      </c>
      <c r="E26" s="182">
        <f t="shared" si="1"/>
        <v>0</v>
      </c>
      <c r="F26" s="7">
        <f>SUM(F27:F28)</f>
        <v>0</v>
      </c>
      <c r="G26" s="7">
        <f>SUM(G27:G28)</f>
        <v>0</v>
      </c>
      <c r="H26" s="7">
        <f>SUM(H27:H28)</f>
        <v>0</v>
      </c>
      <c r="I26" s="182">
        <f t="shared" si="2"/>
        <v>0</v>
      </c>
      <c r="J26" s="7">
        <f>SUM(J27:J28)</f>
        <v>0</v>
      </c>
      <c r="K26" s="7">
        <f>SUM(K27:K28)</f>
        <v>0</v>
      </c>
      <c r="L26" s="7">
        <f>SUM(L27:L28)</f>
        <v>0</v>
      </c>
      <c r="M26" s="182">
        <f t="shared" si="3"/>
        <v>0</v>
      </c>
      <c r="N26" s="7">
        <f>SUM(N27:N28)</f>
        <v>0</v>
      </c>
      <c r="O26" s="7">
        <f>SUM(O27:O28)</f>
        <v>0</v>
      </c>
      <c r="P26" s="7">
        <f>SUM(P27:P28)</f>
        <v>0</v>
      </c>
      <c r="Q26" s="182">
        <f t="shared" si="4"/>
        <v>0</v>
      </c>
      <c r="R26" s="7">
        <f>SUM(R27:R28)</f>
        <v>0</v>
      </c>
      <c r="S26" s="7">
        <f>SUM(S27:S28)</f>
        <v>0</v>
      </c>
      <c r="T26" s="7">
        <f>SUM(T27:T28)</f>
        <v>0</v>
      </c>
      <c r="U26" s="182">
        <f t="shared" si="5"/>
        <v>0</v>
      </c>
      <c r="V26" s="7">
        <f>SUM(V27:V28)</f>
        <v>0</v>
      </c>
      <c r="W26" s="7">
        <f>SUM(W27:W28)</f>
        <v>0</v>
      </c>
      <c r="X26" s="7">
        <f>SUM(X27:X28)</f>
        <v>0</v>
      </c>
      <c r="Y26" s="182">
        <f t="shared" si="6"/>
        <v>0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</row>
    <row r="27" spans="1:39" ht="15.75" customHeight="1" outlineLevel="1" x14ac:dyDescent="0.2">
      <c r="A27" s="25" t="s">
        <v>12</v>
      </c>
      <c r="B27" s="7"/>
      <c r="C27" s="7"/>
      <c r="D27" s="7"/>
      <c r="E27" s="182">
        <f t="shared" si="1"/>
        <v>0</v>
      </c>
      <c r="F27" s="7"/>
      <c r="G27" s="7"/>
      <c r="H27" s="7"/>
      <c r="I27" s="182">
        <f t="shared" si="2"/>
        <v>0</v>
      </c>
      <c r="J27" s="7"/>
      <c r="K27" s="7"/>
      <c r="L27" s="7"/>
      <c r="M27" s="182">
        <f t="shared" si="3"/>
        <v>0</v>
      </c>
      <c r="N27" s="7"/>
      <c r="O27" s="7"/>
      <c r="P27" s="7"/>
      <c r="Q27" s="182">
        <f t="shared" si="4"/>
        <v>0</v>
      </c>
      <c r="R27" s="7">
        <f t="shared" ref="R27:R33" si="9">B27+F27+J27-N27</f>
        <v>0</v>
      </c>
      <c r="S27" s="7">
        <f t="shared" ref="S27:S33" si="10">C27+G27+K27-O27</f>
        <v>0</v>
      </c>
      <c r="T27" s="7">
        <f t="shared" ref="T27:T33" si="11">D27+H27+L27-P27</f>
        <v>0</v>
      </c>
      <c r="U27" s="182">
        <f t="shared" si="5"/>
        <v>0</v>
      </c>
      <c r="V27" s="7"/>
      <c r="W27" s="7"/>
      <c r="X27" s="7"/>
      <c r="Y27" s="182">
        <f t="shared" si="6"/>
        <v>0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1:39" ht="15.75" customHeight="1" outlineLevel="1" x14ac:dyDescent="0.2">
      <c r="A28" s="25" t="s">
        <v>13</v>
      </c>
      <c r="B28" s="7"/>
      <c r="C28" s="7"/>
      <c r="D28" s="7"/>
      <c r="E28" s="182">
        <f t="shared" si="1"/>
        <v>0</v>
      </c>
      <c r="F28" s="7"/>
      <c r="G28" s="7"/>
      <c r="H28" s="7"/>
      <c r="I28" s="182">
        <f t="shared" si="2"/>
        <v>0</v>
      </c>
      <c r="J28" s="7"/>
      <c r="K28" s="7"/>
      <c r="L28" s="7"/>
      <c r="M28" s="182">
        <f t="shared" si="3"/>
        <v>0</v>
      </c>
      <c r="N28" s="7"/>
      <c r="O28" s="7"/>
      <c r="P28" s="7"/>
      <c r="Q28" s="182">
        <f t="shared" si="4"/>
        <v>0</v>
      </c>
      <c r="R28" s="7">
        <f t="shared" si="9"/>
        <v>0</v>
      </c>
      <c r="S28" s="7">
        <f t="shared" si="10"/>
        <v>0</v>
      </c>
      <c r="T28" s="7">
        <f t="shared" si="11"/>
        <v>0</v>
      </c>
      <c r="U28" s="182">
        <f t="shared" si="5"/>
        <v>0</v>
      </c>
      <c r="V28" s="7"/>
      <c r="W28" s="7"/>
      <c r="X28" s="7"/>
      <c r="Y28" s="182">
        <f t="shared" si="6"/>
        <v>0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29" spans="1:39" ht="15.75" customHeight="1" outlineLevel="1" x14ac:dyDescent="0.2">
      <c r="A29" s="25" t="s">
        <v>14</v>
      </c>
      <c r="B29" s="7"/>
      <c r="C29" s="7"/>
      <c r="D29" s="7"/>
      <c r="E29" s="182">
        <f t="shared" si="1"/>
        <v>0</v>
      </c>
      <c r="F29" s="7"/>
      <c r="G29" s="7"/>
      <c r="H29" s="7"/>
      <c r="I29" s="182">
        <f t="shared" si="2"/>
        <v>0</v>
      </c>
      <c r="J29" s="7"/>
      <c r="K29" s="7"/>
      <c r="L29" s="7"/>
      <c r="M29" s="182">
        <f t="shared" si="3"/>
        <v>0</v>
      </c>
      <c r="N29" s="7"/>
      <c r="O29" s="7"/>
      <c r="P29" s="7"/>
      <c r="Q29" s="182">
        <f t="shared" si="4"/>
        <v>0</v>
      </c>
      <c r="R29" s="7">
        <f t="shared" si="9"/>
        <v>0</v>
      </c>
      <c r="S29" s="7">
        <f t="shared" si="10"/>
        <v>0</v>
      </c>
      <c r="T29" s="7">
        <f t="shared" si="11"/>
        <v>0</v>
      </c>
      <c r="U29" s="182">
        <f t="shared" si="5"/>
        <v>0</v>
      </c>
      <c r="V29" s="7"/>
      <c r="W29" s="7"/>
      <c r="X29" s="7"/>
      <c r="Y29" s="182">
        <f t="shared" si="6"/>
        <v>0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</row>
    <row r="30" spans="1:39" ht="15.75" customHeight="1" outlineLevel="1" x14ac:dyDescent="0.2">
      <c r="A30" s="25" t="s">
        <v>15</v>
      </c>
      <c r="B30" s="7"/>
      <c r="C30" s="7"/>
      <c r="D30" s="7"/>
      <c r="E30" s="182">
        <f t="shared" si="1"/>
        <v>0</v>
      </c>
      <c r="F30" s="7"/>
      <c r="G30" s="7"/>
      <c r="H30" s="7"/>
      <c r="I30" s="182">
        <f t="shared" si="2"/>
        <v>0</v>
      </c>
      <c r="J30" s="7"/>
      <c r="K30" s="7"/>
      <c r="L30" s="7"/>
      <c r="M30" s="182">
        <f t="shared" si="3"/>
        <v>0</v>
      </c>
      <c r="N30" s="7"/>
      <c r="O30" s="7"/>
      <c r="P30" s="7"/>
      <c r="Q30" s="182">
        <f t="shared" si="4"/>
        <v>0</v>
      </c>
      <c r="R30" s="7">
        <f t="shared" si="9"/>
        <v>0</v>
      </c>
      <c r="S30" s="7">
        <f t="shared" si="10"/>
        <v>0</v>
      </c>
      <c r="T30" s="7">
        <f t="shared" si="11"/>
        <v>0</v>
      </c>
      <c r="U30" s="182">
        <f t="shared" si="5"/>
        <v>0</v>
      </c>
      <c r="V30" s="7"/>
      <c r="W30" s="7"/>
      <c r="X30" s="7"/>
      <c r="Y30" s="182">
        <f t="shared" si="6"/>
        <v>0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</row>
    <row r="31" spans="1:39" ht="15.75" customHeight="1" outlineLevel="1" x14ac:dyDescent="0.2">
      <c r="A31" s="25" t="s">
        <v>16</v>
      </c>
      <c r="B31" s="7"/>
      <c r="C31" s="7"/>
      <c r="D31" s="7"/>
      <c r="E31" s="182">
        <f t="shared" si="1"/>
        <v>0</v>
      </c>
      <c r="F31" s="7"/>
      <c r="G31" s="7"/>
      <c r="H31" s="7"/>
      <c r="I31" s="182">
        <f t="shared" si="2"/>
        <v>0</v>
      </c>
      <c r="J31" s="7"/>
      <c r="K31" s="7"/>
      <c r="L31" s="7"/>
      <c r="M31" s="182">
        <f t="shared" si="3"/>
        <v>0</v>
      </c>
      <c r="N31" s="7"/>
      <c r="O31" s="7"/>
      <c r="P31" s="7"/>
      <c r="Q31" s="182">
        <f t="shared" si="4"/>
        <v>0</v>
      </c>
      <c r="R31" s="7">
        <f t="shared" si="9"/>
        <v>0</v>
      </c>
      <c r="S31" s="7">
        <f t="shared" si="10"/>
        <v>0</v>
      </c>
      <c r="T31" s="7">
        <f t="shared" si="11"/>
        <v>0</v>
      </c>
      <c r="U31" s="182">
        <f t="shared" si="5"/>
        <v>0</v>
      </c>
      <c r="V31" s="7"/>
      <c r="W31" s="7"/>
      <c r="X31" s="7"/>
      <c r="Y31" s="182">
        <f t="shared" si="6"/>
        <v>0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</row>
    <row r="32" spans="1:39" ht="15.75" customHeight="1" outlineLevel="1" x14ac:dyDescent="0.2">
      <c r="A32" s="25" t="s">
        <v>17</v>
      </c>
      <c r="B32" s="7"/>
      <c r="C32" s="7"/>
      <c r="D32" s="7"/>
      <c r="E32" s="182">
        <f t="shared" si="1"/>
        <v>0</v>
      </c>
      <c r="F32" s="7"/>
      <c r="G32" s="7"/>
      <c r="H32" s="7"/>
      <c r="I32" s="182">
        <f t="shared" si="2"/>
        <v>0</v>
      </c>
      <c r="J32" s="7"/>
      <c r="K32" s="7"/>
      <c r="L32" s="7"/>
      <c r="M32" s="182">
        <f t="shared" si="3"/>
        <v>0</v>
      </c>
      <c r="N32" s="7"/>
      <c r="O32" s="7"/>
      <c r="P32" s="7"/>
      <c r="Q32" s="182">
        <f t="shared" si="4"/>
        <v>0</v>
      </c>
      <c r="R32" s="7">
        <f t="shared" si="9"/>
        <v>0</v>
      </c>
      <c r="S32" s="7">
        <f t="shared" si="10"/>
        <v>0</v>
      </c>
      <c r="T32" s="7">
        <f t="shared" si="11"/>
        <v>0</v>
      </c>
      <c r="U32" s="182">
        <f t="shared" si="5"/>
        <v>0</v>
      </c>
      <c r="V32" s="7"/>
      <c r="W32" s="7"/>
      <c r="X32" s="7"/>
      <c r="Y32" s="182">
        <f t="shared" si="6"/>
        <v>0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</row>
    <row r="33" spans="1:39" ht="15.75" customHeight="1" outlineLevel="1" x14ac:dyDescent="0.2">
      <c r="A33" s="25" t="s">
        <v>18</v>
      </c>
      <c r="B33" s="7"/>
      <c r="C33" s="7"/>
      <c r="D33" s="7"/>
      <c r="E33" s="182">
        <f t="shared" si="1"/>
        <v>0</v>
      </c>
      <c r="F33" s="7"/>
      <c r="G33" s="7"/>
      <c r="H33" s="7"/>
      <c r="I33" s="182">
        <f t="shared" si="2"/>
        <v>0</v>
      </c>
      <c r="J33" s="7"/>
      <c r="K33" s="7"/>
      <c r="L33" s="7"/>
      <c r="M33" s="182">
        <f t="shared" si="3"/>
        <v>0</v>
      </c>
      <c r="N33" s="7"/>
      <c r="O33" s="7"/>
      <c r="P33" s="7"/>
      <c r="Q33" s="182">
        <f t="shared" si="4"/>
        <v>0</v>
      </c>
      <c r="R33" s="7">
        <f t="shared" si="9"/>
        <v>0</v>
      </c>
      <c r="S33" s="7">
        <f t="shared" si="10"/>
        <v>0</v>
      </c>
      <c r="T33" s="7">
        <f t="shared" si="11"/>
        <v>0</v>
      </c>
      <c r="U33" s="182">
        <f t="shared" si="5"/>
        <v>0</v>
      </c>
      <c r="V33" s="7"/>
      <c r="W33" s="7"/>
      <c r="X33" s="7"/>
      <c r="Y33" s="182">
        <f t="shared" si="6"/>
        <v>0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</row>
    <row r="34" spans="1:39" ht="15.75" customHeight="1" outlineLevel="1" x14ac:dyDescent="0.2">
      <c r="A34" s="26" t="s">
        <v>186</v>
      </c>
      <c r="B34" s="182">
        <f t="shared" ref="B34:Y34" si="12">B16+B17+B18+B19+B22+B23+B26+B29+B30+B31+B32+B33</f>
        <v>0</v>
      </c>
      <c r="C34" s="182">
        <f t="shared" si="12"/>
        <v>0</v>
      </c>
      <c r="D34" s="182">
        <f t="shared" si="12"/>
        <v>0</v>
      </c>
      <c r="E34" s="182">
        <f t="shared" si="12"/>
        <v>0</v>
      </c>
      <c r="F34" s="182">
        <f t="shared" si="12"/>
        <v>0</v>
      </c>
      <c r="G34" s="182">
        <f t="shared" si="12"/>
        <v>0</v>
      </c>
      <c r="H34" s="182">
        <f t="shared" si="12"/>
        <v>0</v>
      </c>
      <c r="I34" s="182">
        <f t="shared" si="12"/>
        <v>0</v>
      </c>
      <c r="J34" s="182">
        <f t="shared" si="12"/>
        <v>0</v>
      </c>
      <c r="K34" s="182">
        <f t="shared" si="12"/>
        <v>0</v>
      </c>
      <c r="L34" s="182">
        <f t="shared" si="12"/>
        <v>0</v>
      </c>
      <c r="M34" s="182">
        <f t="shared" si="12"/>
        <v>0</v>
      </c>
      <c r="N34" s="182">
        <f t="shared" si="12"/>
        <v>0</v>
      </c>
      <c r="O34" s="182">
        <f t="shared" si="12"/>
        <v>0</v>
      </c>
      <c r="P34" s="182">
        <f t="shared" si="12"/>
        <v>0</v>
      </c>
      <c r="Q34" s="182">
        <f t="shared" si="12"/>
        <v>0</v>
      </c>
      <c r="R34" s="182">
        <f t="shared" si="12"/>
        <v>0</v>
      </c>
      <c r="S34" s="182">
        <f t="shared" si="12"/>
        <v>0</v>
      </c>
      <c r="T34" s="182">
        <f t="shared" si="12"/>
        <v>0</v>
      </c>
      <c r="U34" s="182">
        <f t="shared" si="12"/>
        <v>0</v>
      </c>
      <c r="V34" s="182">
        <f t="shared" si="12"/>
        <v>0</v>
      </c>
      <c r="W34" s="182">
        <f t="shared" si="12"/>
        <v>0</v>
      </c>
      <c r="X34" s="182">
        <f t="shared" si="12"/>
        <v>0</v>
      </c>
      <c r="Y34" s="182">
        <f t="shared" si="12"/>
        <v>0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1:39" ht="15.75" customHeight="1" x14ac:dyDescent="0.2">
      <c r="A35" s="337" t="s">
        <v>187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7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</row>
    <row r="36" spans="1:39" ht="12.75" customHeight="1" outlineLevel="1" x14ac:dyDescent="0.2">
      <c r="A36" s="332" t="s">
        <v>76</v>
      </c>
      <c r="B36" s="223" t="s">
        <v>176</v>
      </c>
      <c r="C36" s="224"/>
      <c r="D36" s="225"/>
      <c r="E36" s="217" t="s">
        <v>1</v>
      </c>
      <c r="F36" s="219"/>
      <c r="G36" s="329" t="s">
        <v>0</v>
      </c>
      <c r="H36" s="218"/>
      <c r="I36" s="218"/>
      <c r="J36" s="218"/>
      <c r="K36" s="219"/>
      <c r="L36" s="329" t="s">
        <v>76</v>
      </c>
      <c r="M36" s="218"/>
      <c r="N36" s="218"/>
      <c r="O36" s="218"/>
      <c r="P36" s="219"/>
      <c r="Q36" s="223" t="s">
        <v>176</v>
      </c>
      <c r="R36" s="224"/>
      <c r="S36" s="225"/>
      <c r="T36" s="217" t="s">
        <v>1</v>
      </c>
      <c r="U36" s="219"/>
      <c r="V36" s="329" t="s">
        <v>0</v>
      </c>
      <c r="W36" s="218"/>
      <c r="X36" s="218"/>
      <c r="Y36" s="226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</row>
    <row r="37" spans="1:39" ht="12.75" customHeight="1" outlineLevel="1" x14ac:dyDescent="0.2">
      <c r="A37" s="334"/>
      <c r="B37" s="4" t="s">
        <v>2</v>
      </c>
      <c r="C37" s="5" t="s">
        <v>3</v>
      </c>
      <c r="D37" s="5" t="s">
        <v>4</v>
      </c>
      <c r="E37" s="220"/>
      <c r="F37" s="222"/>
      <c r="G37" s="220"/>
      <c r="H37" s="221"/>
      <c r="I37" s="221"/>
      <c r="J37" s="221"/>
      <c r="K37" s="222"/>
      <c r="L37" s="220"/>
      <c r="M37" s="221"/>
      <c r="N37" s="221"/>
      <c r="O37" s="221"/>
      <c r="P37" s="222"/>
      <c r="Q37" s="4" t="s">
        <v>2</v>
      </c>
      <c r="R37" s="5" t="s">
        <v>3</v>
      </c>
      <c r="S37" s="5" t="s">
        <v>4</v>
      </c>
      <c r="T37" s="220"/>
      <c r="U37" s="222"/>
      <c r="V37" s="220"/>
      <c r="W37" s="221"/>
      <c r="X37" s="221"/>
      <c r="Y37" s="227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</row>
    <row r="38" spans="1:39" ht="15.75" customHeight="1" outlineLevel="1" x14ac:dyDescent="0.2">
      <c r="A38" s="338" t="s">
        <v>188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29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</row>
    <row r="39" spans="1:39" ht="17.25" customHeight="1" outlineLevel="1" x14ac:dyDescent="0.2">
      <c r="A39" s="339" t="s">
        <v>189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8"/>
      <c r="L39" s="340" t="s">
        <v>190</v>
      </c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39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</row>
    <row r="40" spans="1:39" ht="27" customHeight="1" outlineLevel="1" x14ac:dyDescent="0.2">
      <c r="A40" s="27" t="s">
        <v>191</v>
      </c>
      <c r="B40" s="6">
        <f>SUM(B41:B42)</f>
        <v>0</v>
      </c>
      <c r="C40" s="6">
        <f>SUM(C41:C42)</f>
        <v>0</v>
      </c>
      <c r="D40" s="6">
        <f>SUM(D41:D42)</f>
        <v>0</v>
      </c>
      <c r="E40" s="341">
        <f t="shared" ref="E40:E46" si="13">SUM(B40:D40)</f>
        <v>0</v>
      </c>
      <c r="F40" s="342"/>
      <c r="G40" s="192"/>
      <c r="H40" s="212"/>
      <c r="I40" s="212"/>
      <c r="J40" s="212"/>
      <c r="K40" s="213"/>
      <c r="L40" s="204" t="s">
        <v>192</v>
      </c>
      <c r="M40" s="212"/>
      <c r="N40" s="212"/>
      <c r="O40" s="212"/>
      <c r="P40" s="213"/>
      <c r="Q40" s="7"/>
      <c r="R40" s="7"/>
      <c r="S40" s="7"/>
      <c r="T40" s="343">
        <f>SUM(Q40:S40)</f>
        <v>0</v>
      </c>
      <c r="U40" s="342"/>
      <c r="V40" s="192"/>
      <c r="W40" s="212"/>
      <c r="X40" s="212"/>
      <c r="Y40" s="239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ht="27" customHeight="1" outlineLevel="1" x14ac:dyDescent="0.2">
      <c r="A41" s="25" t="s">
        <v>193</v>
      </c>
      <c r="B41" s="7"/>
      <c r="C41" s="7"/>
      <c r="D41" s="7"/>
      <c r="E41" s="341">
        <f t="shared" si="13"/>
        <v>0</v>
      </c>
      <c r="F41" s="342"/>
      <c r="G41" s="192"/>
      <c r="H41" s="212"/>
      <c r="I41" s="212"/>
      <c r="J41" s="212"/>
      <c r="K41" s="213"/>
      <c r="L41" s="204" t="s">
        <v>194</v>
      </c>
      <c r="M41" s="212"/>
      <c r="N41" s="212"/>
      <c r="O41" s="212"/>
      <c r="P41" s="213"/>
      <c r="Q41" s="7"/>
      <c r="R41" s="7"/>
      <c r="S41" s="7"/>
      <c r="T41" s="343">
        <f>SUM(Q41:S41)</f>
        <v>0</v>
      </c>
      <c r="U41" s="342"/>
      <c r="V41" s="192"/>
      <c r="W41" s="212"/>
      <c r="X41" s="212"/>
      <c r="Y41" s="239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ht="27" customHeight="1" outlineLevel="1" x14ac:dyDescent="0.2">
      <c r="A42" s="28" t="s">
        <v>195</v>
      </c>
      <c r="B42" s="7"/>
      <c r="C42" s="7"/>
      <c r="D42" s="7"/>
      <c r="E42" s="341">
        <f t="shared" si="13"/>
        <v>0</v>
      </c>
      <c r="F42" s="342"/>
      <c r="G42" s="192"/>
      <c r="H42" s="212"/>
      <c r="I42" s="212"/>
      <c r="J42" s="212"/>
      <c r="K42" s="213"/>
      <c r="L42" s="204" t="s">
        <v>196</v>
      </c>
      <c r="M42" s="212"/>
      <c r="N42" s="212"/>
      <c r="O42" s="212"/>
      <c r="P42" s="213"/>
      <c r="Q42" s="7"/>
      <c r="R42" s="7"/>
      <c r="S42" s="7"/>
      <c r="T42" s="343">
        <f>SUM(Q42:S42)</f>
        <v>0</v>
      </c>
      <c r="U42" s="342"/>
      <c r="V42" s="192"/>
      <c r="W42" s="212"/>
      <c r="X42" s="212"/>
      <c r="Y42" s="239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ht="28.5" customHeight="1" outlineLevel="1" x14ac:dyDescent="0.2">
      <c r="A43" s="27" t="s">
        <v>197</v>
      </c>
      <c r="B43" s="6">
        <f>SUM(B44:B46)</f>
        <v>0</v>
      </c>
      <c r="C43" s="6">
        <f>SUM(C44:C46)</f>
        <v>0</v>
      </c>
      <c r="D43" s="6">
        <f>SUM(D44:D46)</f>
        <v>0</v>
      </c>
      <c r="E43" s="341">
        <f t="shared" si="13"/>
        <v>0</v>
      </c>
      <c r="F43" s="342"/>
      <c r="G43" s="192"/>
      <c r="H43" s="212"/>
      <c r="I43" s="212"/>
      <c r="J43" s="212"/>
      <c r="K43" s="213"/>
      <c r="L43" s="340" t="s">
        <v>198</v>
      </c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39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spans="1:39" ht="27" customHeight="1" outlineLevel="1" x14ac:dyDescent="0.2">
      <c r="A44" s="28" t="s">
        <v>199</v>
      </c>
      <c r="B44" s="7"/>
      <c r="C44" s="7"/>
      <c r="D44" s="7"/>
      <c r="E44" s="341">
        <f t="shared" si="13"/>
        <v>0</v>
      </c>
      <c r="F44" s="342"/>
      <c r="G44" s="192"/>
      <c r="H44" s="212"/>
      <c r="I44" s="212"/>
      <c r="J44" s="212"/>
      <c r="K44" s="213"/>
      <c r="L44" s="204" t="s">
        <v>200</v>
      </c>
      <c r="M44" s="212"/>
      <c r="N44" s="212"/>
      <c r="O44" s="212"/>
      <c r="P44" s="213"/>
      <c r="Q44" s="7"/>
      <c r="R44" s="7"/>
      <c r="S44" s="7"/>
      <c r="T44" s="343">
        <f>SUM(Q44:S44)</f>
        <v>0</v>
      </c>
      <c r="U44" s="342"/>
      <c r="V44" s="192"/>
      <c r="W44" s="212"/>
      <c r="X44" s="212"/>
      <c r="Y44" s="239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spans="1:39" ht="15" customHeight="1" outlineLevel="1" x14ac:dyDescent="0.2">
      <c r="A45" s="25" t="s">
        <v>201</v>
      </c>
      <c r="B45" s="7"/>
      <c r="C45" s="7"/>
      <c r="D45" s="7"/>
      <c r="E45" s="341">
        <f t="shared" si="13"/>
        <v>0</v>
      </c>
      <c r="F45" s="342"/>
      <c r="G45" s="192"/>
      <c r="H45" s="212"/>
      <c r="I45" s="212"/>
      <c r="J45" s="212"/>
      <c r="K45" s="213"/>
      <c r="L45" s="204" t="s">
        <v>202</v>
      </c>
      <c r="M45" s="212"/>
      <c r="N45" s="212"/>
      <c r="O45" s="212"/>
      <c r="P45" s="213"/>
      <c r="Q45" s="7"/>
      <c r="R45" s="7"/>
      <c r="S45" s="7"/>
      <c r="T45" s="343">
        <f>SUM(Q45:S45)</f>
        <v>0</v>
      </c>
      <c r="U45" s="342"/>
      <c r="V45" s="192"/>
      <c r="W45" s="212"/>
      <c r="X45" s="212"/>
      <c r="Y45" s="239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spans="1:39" ht="25.5" customHeight="1" outlineLevel="1" x14ac:dyDescent="0.2">
      <c r="A46" s="25" t="s">
        <v>203</v>
      </c>
      <c r="B46" s="7"/>
      <c r="C46" s="7"/>
      <c r="D46" s="7"/>
      <c r="E46" s="341">
        <f t="shared" si="13"/>
        <v>0</v>
      </c>
      <c r="F46" s="342"/>
      <c r="G46" s="192"/>
      <c r="H46" s="212"/>
      <c r="I46" s="212"/>
      <c r="J46" s="212"/>
      <c r="K46" s="213"/>
      <c r="L46" s="340" t="s">
        <v>204</v>
      </c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39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ht="26.25" customHeight="1" outlineLevel="1" x14ac:dyDescent="0.2">
      <c r="A47" s="344" t="s">
        <v>205</v>
      </c>
      <c r="B47" s="260"/>
      <c r="C47" s="260"/>
      <c r="D47" s="260"/>
      <c r="E47" s="260"/>
      <c r="F47" s="260"/>
      <c r="G47" s="260"/>
      <c r="H47" s="260"/>
      <c r="I47" s="260"/>
      <c r="J47" s="260"/>
      <c r="K47" s="261"/>
      <c r="L47" s="345" t="s">
        <v>206</v>
      </c>
      <c r="M47" s="260"/>
      <c r="N47" s="260"/>
      <c r="O47" s="260"/>
      <c r="P47" s="261"/>
      <c r="Q47" s="183"/>
      <c r="R47" s="183"/>
      <c r="S47" s="183"/>
      <c r="T47" s="343">
        <f>SUM(Q47:S47)</f>
        <v>0</v>
      </c>
      <c r="U47" s="342"/>
      <c r="V47" s="259"/>
      <c r="W47" s="260"/>
      <c r="X47" s="260"/>
      <c r="Y47" s="305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 spans="1:39" ht="24.75" customHeight="1" outlineLevel="1" x14ac:dyDescent="0.2">
      <c r="A48" s="37" t="s">
        <v>207</v>
      </c>
      <c r="B48" s="36"/>
      <c r="C48" s="36"/>
      <c r="D48" s="36"/>
      <c r="E48" s="346">
        <f>SUM(B48:D48)</f>
        <v>0</v>
      </c>
      <c r="F48" s="190"/>
      <c r="G48" s="241"/>
      <c r="H48" s="190"/>
      <c r="I48" s="190"/>
      <c r="J48" s="190"/>
      <c r="K48" s="190"/>
      <c r="L48" s="214" t="s">
        <v>208</v>
      </c>
      <c r="M48" s="190"/>
      <c r="N48" s="190"/>
      <c r="O48" s="190"/>
      <c r="P48" s="190"/>
      <c r="Q48" s="36"/>
      <c r="R48" s="36"/>
      <c r="S48" s="36"/>
      <c r="T48" s="343">
        <f>SUM(Q48:S48)</f>
        <v>0</v>
      </c>
      <c r="U48" s="342"/>
      <c r="V48" s="241"/>
      <c r="W48" s="190"/>
      <c r="X48" s="190"/>
      <c r="Y48" s="20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49" spans="1:39" ht="15.75" customHeight="1" outlineLevel="1" x14ac:dyDescent="0.2">
      <c r="A49" s="37" t="s">
        <v>209</v>
      </c>
      <c r="B49" s="57"/>
      <c r="C49" s="57"/>
      <c r="D49" s="57"/>
      <c r="E49" s="346">
        <f>SUM(B49:D49)</f>
        <v>0</v>
      </c>
      <c r="F49" s="190"/>
      <c r="G49" s="241"/>
      <c r="H49" s="190"/>
      <c r="I49" s="190"/>
      <c r="J49" s="190"/>
      <c r="K49" s="190"/>
      <c r="L49" s="347" t="s">
        <v>210</v>
      </c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20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</row>
    <row r="50" spans="1:39" ht="27.75" customHeight="1" outlineLevel="1" thickBot="1" x14ac:dyDescent="0.25">
      <c r="A50" s="38" t="s">
        <v>211</v>
      </c>
      <c r="B50" s="39"/>
      <c r="C50" s="39"/>
      <c r="D50" s="39"/>
      <c r="E50" s="346">
        <f>SUM(B50:D50)</f>
        <v>0</v>
      </c>
      <c r="F50" s="190"/>
      <c r="G50" s="351"/>
      <c r="H50" s="349"/>
      <c r="I50" s="349"/>
      <c r="J50" s="349"/>
      <c r="K50" s="350"/>
      <c r="L50" s="348" t="s">
        <v>212</v>
      </c>
      <c r="M50" s="349"/>
      <c r="N50" s="349"/>
      <c r="O50" s="349"/>
      <c r="P50" s="350"/>
      <c r="Q50" s="184"/>
      <c r="R50" s="184"/>
      <c r="S50" s="184"/>
      <c r="T50" s="343">
        <f>SUM(Q50:S50)</f>
        <v>0</v>
      </c>
      <c r="U50" s="342"/>
      <c r="V50" s="351"/>
      <c r="W50" s="349"/>
      <c r="X50" s="349"/>
      <c r="Y50" s="352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 ht="12.75" customHeight="1" outlineLevel="1" x14ac:dyDescent="0.2">
      <c r="A51" s="378" t="s">
        <v>76</v>
      </c>
      <c r="B51" s="379" t="s">
        <v>176</v>
      </c>
      <c r="C51" s="322"/>
      <c r="D51" s="380"/>
      <c r="E51" s="381" t="s">
        <v>1</v>
      </c>
      <c r="F51" s="383"/>
      <c r="G51" s="384" t="s">
        <v>0</v>
      </c>
      <c r="H51" s="439"/>
      <c r="I51" s="439"/>
      <c r="J51" s="439"/>
      <c r="K51" s="383"/>
      <c r="L51" s="384" t="s">
        <v>76</v>
      </c>
      <c r="M51" s="439"/>
      <c r="N51" s="439"/>
      <c r="O51" s="439"/>
      <c r="P51" s="383"/>
      <c r="Q51" s="379" t="s">
        <v>176</v>
      </c>
      <c r="R51" s="322"/>
      <c r="S51" s="380"/>
      <c r="T51" s="381" t="s">
        <v>1</v>
      </c>
      <c r="U51" s="383"/>
      <c r="V51" s="384" t="s">
        <v>0</v>
      </c>
      <c r="W51" s="439"/>
      <c r="X51" s="439"/>
      <c r="Y51" s="390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ht="12.75" customHeight="1" outlineLevel="1" x14ac:dyDescent="0.2">
      <c r="A52" s="334"/>
      <c r="B52" s="4" t="s">
        <v>2</v>
      </c>
      <c r="C52" s="5" t="s">
        <v>3</v>
      </c>
      <c r="D52" s="5" t="s">
        <v>4</v>
      </c>
      <c r="E52" s="220"/>
      <c r="F52" s="222"/>
      <c r="G52" s="220"/>
      <c r="H52" s="221"/>
      <c r="I52" s="221"/>
      <c r="J52" s="221"/>
      <c r="K52" s="222"/>
      <c r="L52" s="220"/>
      <c r="M52" s="221"/>
      <c r="N52" s="221"/>
      <c r="O52" s="221"/>
      <c r="P52" s="222"/>
      <c r="Q52" s="4" t="s">
        <v>2</v>
      </c>
      <c r="R52" s="5" t="s">
        <v>3</v>
      </c>
      <c r="S52" s="5" t="s">
        <v>4</v>
      </c>
      <c r="T52" s="220"/>
      <c r="U52" s="222"/>
      <c r="V52" s="220"/>
      <c r="W52" s="221"/>
      <c r="X52" s="221"/>
      <c r="Y52" s="227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</row>
    <row r="53" spans="1:39" ht="15.75" customHeight="1" outlineLevel="1" x14ac:dyDescent="0.2">
      <c r="A53" s="356" t="s">
        <v>213</v>
      </c>
      <c r="B53" s="212"/>
      <c r="C53" s="212"/>
      <c r="D53" s="212"/>
      <c r="E53" s="212"/>
      <c r="F53" s="212"/>
      <c r="G53" s="212"/>
      <c r="H53" s="212"/>
      <c r="I53" s="212"/>
      <c r="J53" s="212"/>
      <c r="K53" s="213"/>
      <c r="L53" s="340" t="s">
        <v>214</v>
      </c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39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</row>
    <row r="54" spans="1:39" ht="25.5" customHeight="1" outlineLevel="1" x14ac:dyDescent="0.2">
      <c r="A54" s="43" t="s">
        <v>215</v>
      </c>
      <c r="B54" s="183"/>
      <c r="C54" s="183"/>
      <c r="D54" s="183"/>
      <c r="E54" s="357">
        <f>SUM(B54:D54)</f>
        <v>0</v>
      </c>
      <c r="F54" s="358"/>
      <c r="G54" s="259"/>
      <c r="H54" s="260"/>
      <c r="I54" s="260"/>
      <c r="J54" s="260"/>
      <c r="K54" s="261"/>
      <c r="L54" s="204" t="s">
        <v>216</v>
      </c>
      <c r="M54" s="212"/>
      <c r="N54" s="212"/>
      <c r="O54" s="212"/>
      <c r="P54" s="213"/>
      <c r="Q54" s="7"/>
      <c r="R54" s="7"/>
      <c r="S54" s="7"/>
      <c r="T54" s="343">
        <f>SUM(Q54:S54)</f>
        <v>0</v>
      </c>
      <c r="U54" s="342"/>
      <c r="V54" s="192"/>
      <c r="W54" s="212"/>
      <c r="X54" s="212"/>
      <c r="Y54" s="239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</row>
    <row r="55" spans="1:39" ht="20.25" customHeight="1" outlineLevel="1" x14ac:dyDescent="0.2">
      <c r="A55" s="459" t="s">
        <v>217</v>
      </c>
      <c r="B55" s="401"/>
      <c r="C55" s="401"/>
      <c r="D55" s="401"/>
      <c r="E55" s="460">
        <v>0</v>
      </c>
      <c r="F55" s="461"/>
      <c r="G55" s="464"/>
      <c r="H55" s="465"/>
      <c r="I55" s="465"/>
      <c r="J55" s="465"/>
      <c r="K55" s="466"/>
      <c r="L55" s="359" t="s">
        <v>484</v>
      </c>
      <c r="M55" s="212"/>
      <c r="N55" s="212"/>
      <c r="O55" s="212"/>
      <c r="P55" s="213"/>
      <c r="Q55" s="7"/>
      <c r="R55" s="7"/>
      <c r="S55" s="7"/>
      <c r="T55" s="343">
        <f>SUM(Q55:S55)</f>
        <v>0</v>
      </c>
      <c r="U55" s="342"/>
      <c r="V55" s="192"/>
      <c r="W55" s="212"/>
      <c r="X55" s="212"/>
      <c r="Y55" s="239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spans="1:39" ht="28.5" customHeight="1" outlineLevel="1" x14ac:dyDescent="0.2">
      <c r="A56" s="459"/>
      <c r="B56" s="401"/>
      <c r="C56" s="401"/>
      <c r="D56" s="401"/>
      <c r="E56" s="462"/>
      <c r="F56" s="463"/>
      <c r="G56" s="467"/>
      <c r="H56" s="468"/>
      <c r="I56" s="468"/>
      <c r="J56" s="468"/>
      <c r="K56" s="469"/>
      <c r="L56" s="359" t="s">
        <v>485</v>
      </c>
      <c r="M56" s="212"/>
      <c r="N56" s="212"/>
      <c r="O56" s="212"/>
      <c r="P56" s="213"/>
      <c r="Q56" s="7"/>
      <c r="R56" s="7"/>
      <c r="S56" s="7"/>
      <c r="T56" s="343">
        <f>SUM(Q56:S56)</f>
        <v>0</v>
      </c>
      <c r="U56" s="342"/>
      <c r="V56" s="192"/>
      <c r="W56" s="212"/>
      <c r="X56" s="212"/>
      <c r="Y56" s="239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 ht="15.75" customHeight="1" outlineLevel="1" x14ac:dyDescent="0.2">
      <c r="A57" s="338" t="s">
        <v>218</v>
      </c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29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</row>
    <row r="58" spans="1:39" ht="15.75" customHeight="1" outlineLevel="1" x14ac:dyDescent="0.2">
      <c r="A58" s="32" t="s">
        <v>219</v>
      </c>
      <c r="B58" s="185"/>
      <c r="C58" s="185"/>
      <c r="D58" s="185"/>
      <c r="E58" s="355">
        <f t="shared" ref="E58:E69" si="14">SUM(B58:D58)</f>
        <v>0</v>
      </c>
      <c r="F58" s="342"/>
      <c r="G58" s="192"/>
      <c r="H58" s="212"/>
      <c r="I58" s="212"/>
      <c r="J58" s="212"/>
      <c r="K58" s="213"/>
      <c r="L58" s="354" t="s">
        <v>220</v>
      </c>
      <c r="M58" s="212"/>
      <c r="N58" s="212"/>
      <c r="O58" s="212"/>
      <c r="P58" s="213"/>
      <c r="Q58" s="6">
        <f>SUM(Q59:Q62)</f>
        <v>0</v>
      </c>
      <c r="R58" s="6">
        <f>SUM(R59:R62)</f>
        <v>0</v>
      </c>
      <c r="S58" s="6">
        <f>SUM(S59:S62)</f>
        <v>0</v>
      </c>
      <c r="T58" s="341">
        <f>SUM(Q58:S58)</f>
        <v>0</v>
      </c>
      <c r="U58" s="342"/>
      <c r="V58" s="192"/>
      <c r="W58" s="212"/>
      <c r="X58" s="212"/>
      <c r="Y58" s="239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</row>
    <row r="59" spans="1:39" ht="28.5" customHeight="1" outlineLevel="1" x14ac:dyDescent="0.2">
      <c r="A59" s="33" t="s">
        <v>519</v>
      </c>
      <c r="B59" s="8">
        <f>SUM(B60:B62)</f>
        <v>0</v>
      </c>
      <c r="C59" s="8">
        <f>SUM(C60:C62)</f>
        <v>0</v>
      </c>
      <c r="D59" s="8">
        <f>SUM(D60:D62)</f>
        <v>0</v>
      </c>
      <c r="E59" s="355">
        <f t="shared" si="14"/>
        <v>0</v>
      </c>
      <c r="F59" s="342"/>
      <c r="G59" s="192"/>
      <c r="H59" s="212"/>
      <c r="I59" s="212"/>
      <c r="J59" s="212"/>
      <c r="K59" s="213"/>
      <c r="L59" s="353" t="s">
        <v>221</v>
      </c>
      <c r="M59" s="212"/>
      <c r="N59" s="212"/>
      <c r="O59" s="212"/>
      <c r="P59" s="213"/>
      <c r="Q59" s="7"/>
      <c r="R59" s="7"/>
      <c r="S59" s="7"/>
      <c r="T59" s="341">
        <f>SUM(Q59:S59)</f>
        <v>0</v>
      </c>
      <c r="U59" s="342"/>
      <c r="V59" s="192"/>
      <c r="W59" s="212"/>
      <c r="X59" s="212"/>
      <c r="Y59" s="239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</row>
    <row r="60" spans="1:39" ht="15.75" customHeight="1" outlineLevel="1" x14ac:dyDescent="0.2">
      <c r="A60" s="25" t="s">
        <v>222</v>
      </c>
      <c r="B60" s="9"/>
      <c r="C60" s="34"/>
      <c r="D60" s="9"/>
      <c r="E60" s="355">
        <f t="shared" si="14"/>
        <v>0</v>
      </c>
      <c r="F60" s="342"/>
      <c r="G60" s="192"/>
      <c r="H60" s="212"/>
      <c r="I60" s="212"/>
      <c r="J60" s="212"/>
      <c r="K60" s="213"/>
      <c r="L60" s="353" t="s">
        <v>223</v>
      </c>
      <c r="M60" s="212"/>
      <c r="N60" s="212"/>
      <c r="O60" s="212"/>
      <c r="P60" s="213"/>
      <c r="Q60" s="7"/>
      <c r="R60" s="7"/>
      <c r="S60" s="7"/>
      <c r="T60" s="341">
        <f>SUM(Q60:S60)</f>
        <v>0</v>
      </c>
      <c r="U60" s="342"/>
      <c r="V60" s="192"/>
      <c r="W60" s="212"/>
      <c r="X60" s="212"/>
      <c r="Y60" s="239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</row>
    <row r="61" spans="1:39" ht="15.75" customHeight="1" outlineLevel="1" x14ac:dyDescent="0.2">
      <c r="A61" s="25" t="s">
        <v>224</v>
      </c>
      <c r="B61" s="7"/>
      <c r="C61" s="7"/>
      <c r="D61" s="7"/>
      <c r="E61" s="355">
        <f t="shared" si="14"/>
        <v>0</v>
      </c>
      <c r="F61" s="342"/>
      <c r="G61" s="192"/>
      <c r="H61" s="212"/>
      <c r="I61" s="212"/>
      <c r="J61" s="212"/>
      <c r="K61" s="213"/>
      <c r="L61" s="353" t="s">
        <v>225</v>
      </c>
      <c r="M61" s="212"/>
      <c r="N61" s="212"/>
      <c r="O61" s="212"/>
      <c r="P61" s="213"/>
      <c r="Q61" s="7"/>
      <c r="R61" s="7"/>
      <c r="S61" s="7"/>
      <c r="T61" s="341">
        <f>SUM(Q61:S61)</f>
        <v>0</v>
      </c>
      <c r="U61" s="342"/>
      <c r="V61" s="192"/>
      <c r="W61" s="212"/>
      <c r="X61" s="212"/>
      <c r="Y61" s="239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</row>
    <row r="62" spans="1:39" ht="15.75" customHeight="1" outlineLevel="1" x14ac:dyDescent="0.2">
      <c r="A62" s="25" t="s">
        <v>226</v>
      </c>
      <c r="B62" s="7"/>
      <c r="C62" s="7"/>
      <c r="D62" s="7"/>
      <c r="E62" s="355">
        <f t="shared" si="14"/>
        <v>0</v>
      </c>
      <c r="F62" s="342"/>
      <c r="G62" s="192"/>
      <c r="H62" s="212"/>
      <c r="I62" s="212"/>
      <c r="J62" s="212"/>
      <c r="K62" s="213"/>
      <c r="L62" s="362" t="s">
        <v>227</v>
      </c>
      <c r="M62" s="260"/>
      <c r="N62" s="260"/>
      <c r="O62" s="260"/>
      <c r="P62" s="261"/>
      <c r="Q62" s="7"/>
      <c r="R62" s="7"/>
      <c r="S62" s="7"/>
      <c r="T62" s="341">
        <f>SUM(Q62:S62)</f>
        <v>0</v>
      </c>
      <c r="U62" s="342"/>
      <c r="V62" s="192"/>
      <c r="W62" s="212"/>
      <c r="X62" s="212"/>
      <c r="Y62" s="239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</row>
    <row r="63" spans="1:39" ht="15.75" customHeight="1" outlineLevel="1" x14ac:dyDescent="0.2">
      <c r="A63" s="35" t="s">
        <v>228</v>
      </c>
      <c r="B63" s="6">
        <f>SUM(B64:B65)</f>
        <v>0</v>
      </c>
      <c r="C63" s="6">
        <f>SUM(C64:C65)</f>
        <v>0</v>
      </c>
      <c r="D63" s="6">
        <f>SUM(D64:D65)</f>
        <v>0</v>
      </c>
      <c r="E63" s="355">
        <f t="shared" si="14"/>
        <v>0</v>
      </c>
      <c r="F63" s="342"/>
      <c r="G63" s="192"/>
      <c r="H63" s="212"/>
      <c r="I63" s="212"/>
      <c r="J63" s="212"/>
      <c r="K63" s="213"/>
      <c r="L63" s="360" t="s">
        <v>76</v>
      </c>
      <c r="M63" s="212"/>
      <c r="N63" s="212"/>
      <c r="O63" s="212"/>
      <c r="P63" s="213"/>
      <c r="Q63" s="13" t="s">
        <v>22</v>
      </c>
      <c r="R63" s="13" t="s">
        <v>23</v>
      </c>
      <c r="S63" s="360" t="s">
        <v>1</v>
      </c>
      <c r="T63" s="212"/>
      <c r="U63" s="213"/>
      <c r="V63" s="360" t="s">
        <v>0</v>
      </c>
      <c r="W63" s="212"/>
      <c r="X63" s="212"/>
      <c r="Y63" s="239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</row>
    <row r="64" spans="1:39" ht="15.75" customHeight="1" outlineLevel="1" x14ac:dyDescent="0.2">
      <c r="A64" s="25" t="s">
        <v>229</v>
      </c>
      <c r="B64" s="183" t="s">
        <v>640</v>
      </c>
      <c r="C64" s="183"/>
      <c r="D64" s="183"/>
      <c r="E64" s="355">
        <f t="shared" si="14"/>
        <v>0</v>
      </c>
      <c r="F64" s="342"/>
      <c r="G64" s="192"/>
      <c r="H64" s="212"/>
      <c r="I64" s="212"/>
      <c r="J64" s="212"/>
      <c r="K64" s="213"/>
      <c r="L64" s="354" t="s">
        <v>230</v>
      </c>
      <c r="M64" s="212"/>
      <c r="N64" s="212"/>
      <c r="O64" s="212"/>
      <c r="P64" s="213"/>
      <c r="Q64" s="8">
        <f>SUM(Q66:Q67)</f>
        <v>0</v>
      </c>
      <c r="R64" s="8">
        <f>SUM(R66:R67)</f>
        <v>0</v>
      </c>
      <c r="S64" s="341">
        <f>SUM(Q64:R64)</f>
        <v>0</v>
      </c>
      <c r="T64" s="361"/>
      <c r="U64" s="342"/>
      <c r="V64" s="192"/>
      <c r="W64" s="212"/>
      <c r="X64" s="212"/>
      <c r="Y64" s="239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</row>
    <row r="65" spans="1:39" ht="15.75" customHeight="1" outlineLevel="1" x14ac:dyDescent="0.2">
      <c r="A65" s="25" t="s">
        <v>231</v>
      </c>
      <c r="B65" s="183"/>
      <c r="C65" s="183"/>
      <c r="D65" s="183"/>
      <c r="E65" s="355">
        <f t="shared" si="14"/>
        <v>0</v>
      </c>
      <c r="F65" s="342"/>
      <c r="G65" s="192"/>
      <c r="H65" s="212"/>
      <c r="I65" s="212"/>
      <c r="J65" s="212"/>
      <c r="K65" s="213"/>
      <c r="L65" s="353" t="s">
        <v>232</v>
      </c>
      <c r="M65" s="212"/>
      <c r="N65" s="212"/>
      <c r="O65" s="212"/>
      <c r="P65" s="213"/>
      <c r="Q65" s="7"/>
      <c r="R65" s="7"/>
      <c r="S65" s="341">
        <f>SUM(Q65:R65)</f>
        <v>0</v>
      </c>
      <c r="T65" s="361"/>
      <c r="U65" s="342"/>
      <c r="V65" s="192"/>
      <c r="W65" s="212"/>
      <c r="X65" s="212"/>
      <c r="Y65" s="239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</row>
    <row r="66" spans="1:39" ht="15.75" customHeight="1" outlineLevel="1" x14ac:dyDescent="0.2">
      <c r="A66" s="35" t="s">
        <v>233</v>
      </c>
      <c r="B66" s="6">
        <f>SUM(B67:B69)</f>
        <v>0</v>
      </c>
      <c r="C66" s="6">
        <f>SUM(C67:C69)</f>
        <v>0</v>
      </c>
      <c r="D66" s="6">
        <f>SUM(D67:D69)</f>
        <v>0</v>
      </c>
      <c r="E66" s="355">
        <f t="shared" si="14"/>
        <v>0</v>
      </c>
      <c r="F66" s="342"/>
      <c r="G66" s="192"/>
      <c r="H66" s="212"/>
      <c r="I66" s="212"/>
      <c r="J66" s="212"/>
      <c r="K66" s="213"/>
      <c r="L66" s="353" t="s">
        <v>234</v>
      </c>
      <c r="M66" s="212"/>
      <c r="N66" s="212"/>
      <c r="O66" s="212"/>
      <c r="P66" s="213"/>
      <c r="Q66" s="7"/>
      <c r="R66" s="7"/>
      <c r="S66" s="341">
        <f>SUM(Q66:R66)</f>
        <v>0</v>
      </c>
      <c r="T66" s="361"/>
      <c r="U66" s="342"/>
      <c r="V66" s="192"/>
      <c r="W66" s="212"/>
      <c r="X66" s="212"/>
      <c r="Y66" s="239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spans="1:39" ht="15.75" customHeight="1" outlineLevel="1" x14ac:dyDescent="0.2">
      <c r="A67" s="25" t="s">
        <v>235</v>
      </c>
      <c r="B67" s="183"/>
      <c r="C67" s="183"/>
      <c r="D67" s="183"/>
      <c r="E67" s="355">
        <f t="shared" si="14"/>
        <v>0</v>
      </c>
      <c r="F67" s="342"/>
      <c r="G67" s="192"/>
      <c r="H67" s="212"/>
      <c r="I67" s="212"/>
      <c r="J67" s="212"/>
      <c r="K67" s="213"/>
      <c r="L67" s="353" t="s">
        <v>236</v>
      </c>
      <c r="M67" s="212"/>
      <c r="N67" s="212"/>
      <c r="O67" s="212"/>
      <c r="P67" s="213"/>
      <c r="Q67" s="7"/>
      <c r="R67" s="7"/>
      <c r="S67" s="341">
        <f>SUM(Q67:R67)</f>
        <v>0</v>
      </c>
      <c r="T67" s="361"/>
      <c r="U67" s="342"/>
      <c r="V67" s="192"/>
      <c r="W67" s="212"/>
      <c r="X67" s="212"/>
      <c r="Y67" s="239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</row>
    <row r="68" spans="1:39" ht="15.75" customHeight="1" outlineLevel="1" x14ac:dyDescent="0.2">
      <c r="A68" s="25" t="s">
        <v>237</v>
      </c>
      <c r="B68" s="183"/>
      <c r="C68" s="183"/>
      <c r="D68" s="183"/>
      <c r="E68" s="355">
        <f t="shared" si="14"/>
        <v>0</v>
      </c>
      <c r="F68" s="342"/>
      <c r="G68" s="192"/>
      <c r="H68" s="212"/>
      <c r="I68" s="212"/>
      <c r="J68" s="212"/>
      <c r="K68" s="213"/>
      <c r="L68" s="366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237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</row>
    <row r="69" spans="1:39" ht="15.75" customHeight="1" outlineLevel="1" x14ac:dyDescent="0.2">
      <c r="A69" s="43" t="s">
        <v>238</v>
      </c>
      <c r="B69" s="183"/>
      <c r="C69" s="183"/>
      <c r="D69" s="183"/>
      <c r="E69" s="355">
        <f t="shared" si="14"/>
        <v>0</v>
      </c>
      <c r="F69" s="342"/>
      <c r="G69" s="259"/>
      <c r="H69" s="260"/>
      <c r="I69" s="260"/>
      <c r="J69" s="260"/>
      <c r="K69" s="261"/>
      <c r="L69" s="367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7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</row>
    <row r="70" spans="1:39" ht="12.75" customHeight="1" outlineLevel="1" x14ac:dyDescent="0.2">
      <c r="A70" s="189" t="s">
        <v>76</v>
      </c>
      <c r="B70" s="191" t="s">
        <v>176</v>
      </c>
      <c r="C70" s="190"/>
      <c r="D70" s="190"/>
      <c r="E70" s="191" t="s">
        <v>1</v>
      </c>
      <c r="F70" s="190"/>
      <c r="G70" s="189" t="s">
        <v>0</v>
      </c>
      <c r="H70" s="190"/>
      <c r="I70" s="190"/>
      <c r="J70" s="190"/>
      <c r="K70" s="190"/>
      <c r="L70" s="189" t="s">
        <v>76</v>
      </c>
      <c r="M70" s="190"/>
      <c r="N70" s="190"/>
      <c r="O70" s="190"/>
      <c r="P70" s="190"/>
      <c r="Q70" s="191" t="s">
        <v>176</v>
      </c>
      <c r="R70" s="190"/>
      <c r="S70" s="190"/>
      <c r="T70" s="191" t="s">
        <v>1</v>
      </c>
      <c r="U70" s="190"/>
      <c r="V70" s="189" t="s">
        <v>0</v>
      </c>
      <c r="W70" s="190"/>
      <c r="X70" s="190"/>
      <c r="Y70" s="190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</row>
    <row r="71" spans="1:39" ht="12.75" customHeight="1" outlineLevel="1" x14ac:dyDescent="0.2">
      <c r="A71" s="190"/>
      <c r="B71" s="181" t="s">
        <v>2</v>
      </c>
      <c r="C71" s="64" t="s">
        <v>3</v>
      </c>
      <c r="D71" s="64" t="s">
        <v>4</v>
      </c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81" t="s">
        <v>2</v>
      </c>
      <c r="R71" s="64" t="s">
        <v>3</v>
      </c>
      <c r="S71" s="64" t="s">
        <v>4</v>
      </c>
      <c r="T71" s="190"/>
      <c r="U71" s="190"/>
      <c r="V71" s="190"/>
      <c r="W71" s="190"/>
      <c r="X71" s="190"/>
      <c r="Y71" s="190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2" spans="1:39" ht="15.75" customHeight="1" outlineLevel="1" x14ac:dyDescent="0.2">
      <c r="A72" s="338" t="s">
        <v>26</v>
      </c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29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</row>
    <row r="73" spans="1:39" ht="15.75" customHeight="1" outlineLevel="1" x14ac:dyDescent="0.2">
      <c r="A73" s="356" t="s">
        <v>239</v>
      </c>
      <c r="B73" s="212"/>
      <c r="C73" s="212"/>
      <c r="D73" s="212"/>
      <c r="E73" s="212"/>
      <c r="F73" s="212"/>
      <c r="G73" s="212"/>
      <c r="H73" s="212"/>
      <c r="I73" s="212"/>
      <c r="J73" s="212"/>
      <c r="K73" s="213"/>
      <c r="L73" s="363" t="s">
        <v>25</v>
      </c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39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</row>
    <row r="74" spans="1:39" ht="27" customHeight="1" outlineLevel="1" x14ac:dyDescent="0.2">
      <c r="A74" s="27" t="s">
        <v>240</v>
      </c>
      <c r="B74" s="8">
        <f>SUM(B75:B76)</f>
        <v>0</v>
      </c>
      <c r="C74" s="8">
        <f>SUM(C75:C76)</f>
        <v>0</v>
      </c>
      <c r="D74" s="8">
        <f>SUM(D75:D76)</f>
        <v>0</v>
      </c>
      <c r="E74" s="341">
        <f t="shared" ref="E74:E80" si="15">SUM(B74:D74)</f>
        <v>0</v>
      </c>
      <c r="F74" s="342"/>
      <c r="G74" s="192"/>
      <c r="H74" s="212"/>
      <c r="I74" s="212"/>
      <c r="J74" s="212"/>
      <c r="K74" s="213"/>
      <c r="L74" s="204" t="s">
        <v>241</v>
      </c>
      <c r="M74" s="212"/>
      <c r="N74" s="212"/>
      <c r="O74" s="212"/>
      <c r="P74" s="213"/>
      <c r="Q74" s="7"/>
      <c r="R74" s="7"/>
      <c r="S74" s="7"/>
      <c r="T74" s="343">
        <f>SUM(Q74:S74)</f>
        <v>0</v>
      </c>
      <c r="U74" s="342"/>
      <c r="V74" s="192"/>
      <c r="W74" s="212"/>
      <c r="X74" s="212"/>
      <c r="Y74" s="239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</row>
    <row r="75" spans="1:39" ht="27" customHeight="1" outlineLevel="1" x14ac:dyDescent="0.2">
      <c r="A75" s="25" t="s">
        <v>242</v>
      </c>
      <c r="B75" s="7"/>
      <c r="C75" s="7"/>
      <c r="D75" s="7"/>
      <c r="E75" s="341">
        <f t="shared" si="15"/>
        <v>0</v>
      </c>
      <c r="F75" s="342"/>
      <c r="G75" s="192"/>
      <c r="H75" s="212"/>
      <c r="I75" s="212"/>
      <c r="J75" s="212"/>
      <c r="K75" s="213"/>
      <c r="L75" s="204" t="s">
        <v>243</v>
      </c>
      <c r="M75" s="212"/>
      <c r="N75" s="212"/>
      <c r="O75" s="212"/>
      <c r="P75" s="213"/>
      <c r="Q75" s="7"/>
      <c r="R75" s="7"/>
      <c r="S75" s="7"/>
      <c r="T75" s="343">
        <f>SUM(Q75:S75)</f>
        <v>0</v>
      </c>
      <c r="U75" s="342"/>
      <c r="V75" s="192"/>
      <c r="W75" s="212"/>
      <c r="X75" s="212"/>
      <c r="Y75" s="239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</row>
    <row r="76" spans="1:39" ht="25.5" customHeight="1" outlineLevel="1" x14ac:dyDescent="0.2">
      <c r="A76" s="25" t="s">
        <v>244</v>
      </c>
      <c r="B76" s="7"/>
      <c r="C76" s="7"/>
      <c r="D76" s="7"/>
      <c r="E76" s="341">
        <f t="shared" si="15"/>
        <v>0</v>
      </c>
      <c r="F76" s="342"/>
      <c r="G76" s="192"/>
      <c r="H76" s="212"/>
      <c r="I76" s="212"/>
      <c r="J76" s="212"/>
      <c r="K76" s="213"/>
      <c r="L76" s="340" t="s">
        <v>245</v>
      </c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39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spans="1:39" ht="27" customHeight="1" outlineLevel="1" x14ac:dyDescent="0.2">
      <c r="A77" s="27" t="s">
        <v>246</v>
      </c>
      <c r="B77" s="6">
        <f>SUM(B78:B80)</f>
        <v>0</v>
      </c>
      <c r="C77" s="6">
        <f>SUM(C78:C80)</f>
        <v>0</v>
      </c>
      <c r="D77" s="6">
        <f>SUM(D78:D80)</f>
        <v>0</v>
      </c>
      <c r="E77" s="341">
        <f t="shared" si="15"/>
        <v>0</v>
      </c>
      <c r="F77" s="342"/>
      <c r="G77" s="192"/>
      <c r="H77" s="212"/>
      <c r="I77" s="212"/>
      <c r="J77" s="212"/>
      <c r="K77" s="213"/>
      <c r="L77" s="204" t="s">
        <v>247</v>
      </c>
      <c r="M77" s="212"/>
      <c r="N77" s="212"/>
      <c r="O77" s="212"/>
      <c r="P77" s="213"/>
      <c r="Q77" s="7"/>
      <c r="R77" s="7"/>
      <c r="S77" s="7"/>
      <c r="T77" s="343">
        <f>SUM(Q77:S77)</f>
        <v>0</v>
      </c>
      <c r="U77" s="342"/>
      <c r="V77" s="192"/>
      <c r="W77" s="212"/>
      <c r="X77" s="212"/>
      <c r="Y77" s="239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</row>
    <row r="78" spans="1:39" ht="27" customHeight="1" outlineLevel="1" x14ac:dyDescent="0.2">
      <c r="A78" s="25" t="s">
        <v>248</v>
      </c>
      <c r="B78" s="7"/>
      <c r="C78" s="7"/>
      <c r="D78" s="7"/>
      <c r="E78" s="341">
        <f t="shared" si="15"/>
        <v>0</v>
      </c>
      <c r="F78" s="342"/>
      <c r="G78" s="192"/>
      <c r="H78" s="212"/>
      <c r="I78" s="212"/>
      <c r="J78" s="212"/>
      <c r="K78" s="213"/>
      <c r="L78" s="204" t="s">
        <v>249</v>
      </c>
      <c r="M78" s="212"/>
      <c r="N78" s="212"/>
      <c r="O78" s="212"/>
      <c r="P78" s="213"/>
      <c r="Q78" s="7"/>
      <c r="R78" s="7"/>
      <c r="S78" s="7"/>
      <c r="T78" s="343">
        <f>SUM(Q78:S78)</f>
        <v>0</v>
      </c>
      <c r="U78" s="342"/>
      <c r="V78" s="192"/>
      <c r="W78" s="212"/>
      <c r="X78" s="212"/>
      <c r="Y78" s="239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</row>
    <row r="79" spans="1:39" ht="15.75" customHeight="1" x14ac:dyDescent="0.2">
      <c r="A79" s="25" t="s">
        <v>250</v>
      </c>
      <c r="B79" s="183"/>
      <c r="C79" s="183"/>
      <c r="D79" s="183"/>
      <c r="E79" s="341">
        <f t="shared" si="15"/>
        <v>0</v>
      </c>
      <c r="F79" s="342"/>
      <c r="G79" s="259"/>
      <c r="H79" s="260"/>
      <c r="I79" s="260"/>
      <c r="J79" s="260"/>
      <c r="K79" s="261"/>
      <c r="L79" s="368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70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</row>
    <row r="80" spans="1:39" ht="25.5" customHeight="1" outlineLevel="1" x14ac:dyDescent="0.2">
      <c r="A80" s="25" t="s">
        <v>251</v>
      </c>
      <c r="B80" s="183"/>
      <c r="C80" s="183"/>
      <c r="D80" s="183"/>
      <c r="E80" s="341">
        <f t="shared" si="15"/>
        <v>0</v>
      </c>
      <c r="F80" s="342"/>
      <c r="G80" s="259"/>
      <c r="H80" s="260"/>
      <c r="I80" s="260"/>
      <c r="J80" s="260"/>
      <c r="K80" s="261"/>
      <c r="L80" s="371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</row>
    <row r="81" spans="1:39" ht="15.75" customHeight="1" outlineLevel="1" x14ac:dyDescent="0.2">
      <c r="A81" s="374" t="s">
        <v>252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375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</row>
    <row r="82" spans="1:39" ht="15.75" customHeight="1" outlineLevel="1" x14ac:dyDescent="0.2">
      <c r="A82" s="332" t="s">
        <v>76</v>
      </c>
      <c r="B82" s="223" t="s">
        <v>253</v>
      </c>
      <c r="C82" s="224"/>
      <c r="D82" s="225"/>
      <c r="E82" s="217" t="s">
        <v>0</v>
      </c>
      <c r="F82" s="218"/>
      <c r="G82" s="218"/>
      <c r="H82" s="218"/>
      <c r="I82" s="218"/>
      <c r="J82" s="218"/>
      <c r="K82" s="219"/>
      <c r="L82" s="329" t="s">
        <v>76</v>
      </c>
      <c r="M82" s="218"/>
      <c r="N82" s="218"/>
      <c r="O82" s="218"/>
      <c r="P82" s="219"/>
      <c r="Q82" s="223" t="s">
        <v>253</v>
      </c>
      <c r="R82" s="224"/>
      <c r="S82" s="225"/>
      <c r="T82" s="217" t="s">
        <v>0</v>
      </c>
      <c r="U82" s="218"/>
      <c r="V82" s="218"/>
      <c r="W82" s="218"/>
      <c r="X82" s="218"/>
      <c r="Y82" s="226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</row>
    <row r="83" spans="1:39" ht="15.75" customHeight="1" outlineLevel="1" x14ac:dyDescent="0.2">
      <c r="A83" s="334"/>
      <c r="B83" s="59" t="s">
        <v>22</v>
      </c>
      <c r="C83" s="59" t="s">
        <v>23</v>
      </c>
      <c r="D83" s="59" t="s">
        <v>24</v>
      </c>
      <c r="E83" s="220"/>
      <c r="F83" s="221"/>
      <c r="G83" s="221"/>
      <c r="H83" s="221"/>
      <c r="I83" s="221"/>
      <c r="J83" s="221"/>
      <c r="K83" s="222"/>
      <c r="L83" s="220"/>
      <c r="M83" s="221"/>
      <c r="N83" s="221"/>
      <c r="O83" s="221"/>
      <c r="P83" s="222"/>
      <c r="Q83" s="59" t="s">
        <v>22</v>
      </c>
      <c r="R83" s="59" t="s">
        <v>23</v>
      </c>
      <c r="S83" s="59" t="s">
        <v>24</v>
      </c>
      <c r="T83" s="220"/>
      <c r="U83" s="221"/>
      <c r="V83" s="221"/>
      <c r="W83" s="221"/>
      <c r="X83" s="221"/>
      <c r="Y83" s="227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</row>
    <row r="84" spans="1:39" ht="15.75" customHeight="1" outlineLevel="1" x14ac:dyDescent="0.2">
      <c r="A84" s="364" t="s">
        <v>254</v>
      </c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39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</row>
    <row r="85" spans="1:39" ht="15.75" customHeight="1" outlineLevel="1" x14ac:dyDescent="0.2">
      <c r="A85" s="365" t="s">
        <v>255</v>
      </c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39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</row>
    <row r="86" spans="1:39" ht="15" customHeight="1" outlineLevel="1" x14ac:dyDescent="0.2">
      <c r="A86" s="25" t="s">
        <v>77</v>
      </c>
      <c r="B86" s="7"/>
      <c r="C86" s="7"/>
      <c r="D86" s="10">
        <f t="shared" ref="D86:D94" si="16">SUM(B86:C86)</f>
        <v>0</v>
      </c>
      <c r="E86" s="192"/>
      <c r="F86" s="212"/>
      <c r="G86" s="212"/>
      <c r="H86" s="212"/>
      <c r="I86" s="212"/>
      <c r="J86" s="212"/>
      <c r="K86" s="213"/>
      <c r="L86" s="206" t="s">
        <v>32</v>
      </c>
      <c r="M86" s="207"/>
      <c r="N86" s="207"/>
      <c r="O86" s="207"/>
      <c r="P86" s="207"/>
      <c r="Q86" s="7"/>
      <c r="R86" s="7"/>
      <c r="S86" s="10">
        <f t="shared" ref="S86:S93" si="17">SUM(Q86:R86)</f>
        <v>0</v>
      </c>
      <c r="T86" s="192"/>
      <c r="U86" s="212"/>
      <c r="V86" s="212"/>
      <c r="W86" s="212"/>
      <c r="X86" s="212"/>
      <c r="Y86" s="239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1:39" ht="15" customHeight="1" outlineLevel="1" x14ac:dyDescent="0.2">
      <c r="A87" s="66" t="s">
        <v>256</v>
      </c>
      <c r="B87" s="7"/>
      <c r="C87" s="7"/>
      <c r="D87" s="10">
        <f t="shared" si="16"/>
        <v>0</v>
      </c>
      <c r="E87" s="192"/>
      <c r="F87" s="212"/>
      <c r="G87" s="212"/>
      <c r="H87" s="212"/>
      <c r="I87" s="212"/>
      <c r="J87" s="212"/>
      <c r="K87" s="213"/>
      <c r="L87" s="204" t="s">
        <v>33</v>
      </c>
      <c r="M87" s="212"/>
      <c r="N87" s="212"/>
      <c r="O87" s="212"/>
      <c r="P87" s="213"/>
      <c r="Q87" s="7"/>
      <c r="R87" s="7"/>
      <c r="S87" s="10">
        <f t="shared" si="17"/>
        <v>0</v>
      </c>
      <c r="T87" s="192"/>
      <c r="U87" s="212"/>
      <c r="V87" s="212"/>
      <c r="W87" s="212"/>
      <c r="X87" s="212"/>
      <c r="Y87" s="239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</row>
    <row r="88" spans="1:39" ht="15" customHeight="1" outlineLevel="1" x14ac:dyDescent="0.2">
      <c r="A88" s="66" t="s">
        <v>580</v>
      </c>
      <c r="B88" s="7"/>
      <c r="C88" s="7"/>
      <c r="D88" s="10">
        <f t="shared" si="16"/>
        <v>0</v>
      </c>
      <c r="E88" s="192"/>
      <c r="F88" s="212"/>
      <c r="G88" s="212"/>
      <c r="H88" s="212"/>
      <c r="I88" s="212"/>
      <c r="J88" s="212"/>
      <c r="K88" s="213"/>
      <c r="L88" s="204" t="s">
        <v>34</v>
      </c>
      <c r="M88" s="212"/>
      <c r="N88" s="212"/>
      <c r="O88" s="212"/>
      <c r="P88" s="213"/>
      <c r="Q88" s="7"/>
      <c r="R88" s="7"/>
      <c r="S88" s="10">
        <f t="shared" si="17"/>
        <v>0</v>
      </c>
      <c r="T88" s="192"/>
      <c r="U88" s="212"/>
      <c r="V88" s="212"/>
      <c r="W88" s="212"/>
      <c r="X88" s="212"/>
      <c r="Y88" s="239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1:39" ht="15" customHeight="1" outlineLevel="1" x14ac:dyDescent="0.2">
      <c r="A89" s="25" t="s">
        <v>257</v>
      </c>
      <c r="B89" s="7"/>
      <c r="C89" s="7"/>
      <c r="D89" s="10">
        <f t="shared" si="16"/>
        <v>0</v>
      </c>
      <c r="E89" s="192"/>
      <c r="F89" s="212"/>
      <c r="G89" s="212"/>
      <c r="H89" s="212"/>
      <c r="I89" s="212"/>
      <c r="J89" s="212"/>
      <c r="K89" s="213"/>
      <c r="L89" s="204" t="s">
        <v>35</v>
      </c>
      <c r="M89" s="212"/>
      <c r="N89" s="212"/>
      <c r="O89" s="212"/>
      <c r="P89" s="213"/>
      <c r="Q89" s="7"/>
      <c r="R89" s="7"/>
      <c r="S89" s="10">
        <f t="shared" si="17"/>
        <v>0</v>
      </c>
      <c r="T89" s="192"/>
      <c r="U89" s="212"/>
      <c r="V89" s="212"/>
      <c r="W89" s="212"/>
      <c r="X89" s="212"/>
      <c r="Y89" s="239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spans="1:39" ht="15" customHeight="1" outlineLevel="1" x14ac:dyDescent="0.2">
      <c r="A90" s="25" t="s">
        <v>27</v>
      </c>
      <c r="B90" s="7"/>
      <c r="C90" s="7"/>
      <c r="D90" s="10">
        <f t="shared" si="16"/>
        <v>0</v>
      </c>
      <c r="E90" s="192"/>
      <c r="F90" s="212"/>
      <c r="G90" s="212"/>
      <c r="H90" s="212"/>
      <c r="I90" s="212"/>
      <c r="J90" s="212"/>
      <c r="K90" s="213"/>
      <c r="L90" s="204" t="s">
        <v>36</v>
      </c>
      <c r="M90" s="212"/>
      <c r="N90" s="212"/>
      <c r="O90" s="212"/>
      <c r="P90" s="213"/>
      <c r="Q90" s="7"/>
      <c r="R90" s="7"/>
      <c r="S90" s="10">
        <f t="shared" si="17"/>
        <v>0</v>
      </c>
      <c r="T90" s="192"/>
      <c r="U90" s="212"/>
      <c r="V90" s="212"/>
      <c r="W90" s="212"/>
      <c r="X90" s="212"/>
      <c r="Y90" s="239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spans="1:39" ht="15" customHeight="1" outlineLevel="1" x14ac:dyDescent="0.2">
      <c r="A91" s="25" t="s">
        <v>28</v>
      </c>
      <c r="B91" s="7"/>
      <c r="C91" s="7"/>
      <c r="D91" s="10">
        <f t="shared" si="16"/>
        <v>0</v>
      </c>
      <c r="E91" s="192"/>
      <c r="F91" s="212"/>
      <c r="G91" s="212"/>
      <c r="H91" s="212"/>
      <c r="I91" s="212"/>
      <c r="J91" s="212"/>
      <c r="K91" s="213"/>
      <c r="L91" s="204" t="s">
        <v>37</v>
      </c>
      <c r="M91" s="212"/>
      <c r="N91" s="212"/>
      <c r="O91" s="212"/>
      <c r="P91" s="213"/>
      <c r="Q91" s="7"/>
      <c r="R91" s="7"/>
      <c r="S91" s="10">
        <f t="shared" si="17"/>
        <v>0</v>
      </c>
      <c r="T91" s="192"/>
      <c r="U91" s="212"/>
      <c r="V91" s="212"/>
      <c r="W91" s="212"/>
      <c r="X91" s="212"/>
      <c r="Y91" s="239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</row>
    <row r="92" spans="1:39" ht="15" customHeight="1" outlineLevel="1" x14ac:dyDescent="0.2">
      <c r="A92" s="25" t="s">
        <v>29</v>
      </c>
      <c r="B92" s="7"/>
      <c r="C92" s="7"/>
      <c r="D92" s="10">
        <f t="shared" si="16"/>
        <v>0</v>
      </c>
      <c r="E92" s="192"/>
      <c r="F92" s="212"/>
      <c r="G92" s="212"/>
      <c r="H92" s="212"/>
      <c r="I92" s="212"/>
      <c r="J92" s="212"/>
      <c r="K92" s="213"/>
      <c r="L92" s="204" t="s">
        <v>38</v>
      </c>
      <c r="M92" s="212"/>
      <c r="N92" s="212"/>
      <c r="O92" s="212"/>
      <c r="P92" s="213"/>
      <c r="Q92" s="7"/>
      <c r="R92" s="7"/>
      <c r="S92" s="10">
        <f t="shared" si="17"/>
        <v>0</v>
      </c>
      <c r="T92" s="192"/>
      <c r="U92" s="212"/>
      <c r="V92" s="212"/>
      <c r="W92" s="212"/>
      <c r="X92" s="212"/>
      <c r="Y92" s="239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spans="1:39" ht="15" customHeight="1" outlineLevel="1" x14ac:dyDescent="0.2">
      <c r="A93" s="25" t="s">
        <v>30</v>
      </c>
      <c r="B93" s="7"/>
      <c r="C93" s="7"/>
      <c r="D93" s="10">
        <f t="shared" si="16"/>
        <v>0</v>
      </c>
      <c r="E93" s="192"/>
      <c r="F93" s="212"/>
      <c r="G93" s="212"/>
      <c r="H93" s="212"/>
      <c r="I93" s="212"/>
      <c r="J93" s="212"/>
      <c r="K93" s="213"/>
      <c r="L93" s="204" t="s">
        <v>39</v>
      </c>
      <c r="M93" s="212"/>
      <c r="N93" s="212"/>
      <c r="O93" s="212"/>
      <c r="P93" s="213"/>
      <c r="Q93" s="7"/>
      <c r="R93" s="7"/>
      <c r="S93" s="10">
        <f t="shared" si="17"/>
        <v>0</v>
      </c>
      <c r="T93" s="192"/>
      <c r="U93" s="212"/>
      <c r="V93" s="212"/>
      <c r="W93" s="212"/>
      <c r="X93" s="212"/>
      <c r="Y93" s="239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spans="1:39" ht="15" customHeight="1" outlineLevel="1" x14ac:dyDescent="0.2">
      <c r="A94" s="25" t="s">
        <v>31</v>
      </c>
      <c r="B94" s="7"/>
      <c r="C94" s="7"/>
      <c r="D94" s="10">
        <f t="shared" si="16"/>
        <v>0</v>
      </c>
      <c r="E94" s="192"/>
      <c r="F94" s="212"/>
      <c r="G94" s="212"/>
      <c r="H94" s="212"/>
      <c r="I94" s="212"/>
      <c r="J94" s="212"/>
      <c r="K94" s="213"/>
      <c r="L94" s="504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6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spans="1:39" ht="15.75" customHeight="1" outlineLevel="1" x14ac:dyDescent="0.2">
      <c r="A95" s="377" t="s">
        <v>578</v>
      </c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39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spans="1:39" ht="14.25" customHeight="1" outlineLevel="1" x14ac:dyDescent="0.2">
      <c r="A96" s="25" t="s">
        <v>40</v>
      </c>
      <c r="B96" s="7"/>
      <c r="C96" s="7"/>
      <c r="D96" s="10">
        <f t="shared" ref="D96:D103" si="18">SUM(B96:C96)</f>
        <v>0</v>
      </c>
      <c r="E96" s="192"/>
      <c r="F96" s="212"/>
      <c r="G96" s="212"/>
      <c r="H96" s="212"/>
      <c r="I96" s="212"/>
      <c r="J96" s="212"/>
      <c r="K96" s="213"/>
      <c r="L96" s="204" t="s">
        <v>48</v>
      </c>
      <c r="M96" s="212"/>
      <c r="N96" s="212"/>
      <c r="O96" s="212"/>
      <c r="P96" s="213"/>
      <c r="Q96" s="7"/>
      <c r="R96" s="7"/>
      <c r="S96" s="10">
        <f t="shared" ref="S96:S103" si="19">SUM(Q96:R96)</f>
        <v>0</v>
      </c>
      <c r="T96" s="192"/>
      <c r="U96" s="212"/>
      <c r="V96" s="212"/>
      <c r="W96" s="212"/>
      <c r="X96" s="212"/>
      <c r="Y96" s="239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spans="1:39" ht="14.25" customHeight="1" outlineLevel="1" x14ac:dyDescent="0.2">
      <c r="A97" s="43" t="s">
        <v>41</v>
      </c>
      <c r="B97" s="183"/>
      <c r="C97" s="183"/>
      <c r="D97" s="10">
        <f t="shared" si="18"/>
        <v>0</v>
      </c>
      <c r="E97" s="259"/>
      <c r="F97" s="260"/>
      <c r="G97" s="260"/>
      <c r="H97" s="260"/>
      <c r="I97" s="260"/>
      <c r="J97" s="260"/>
      <c r="K97" s="261"/>
      <c r="L97" s="345" t="s">
        <v>49</v>
      </c>
      <c r="M97" s="260"/>
      <c r="N97" s="260"/>
      <c r="O97" s="260"/>
      <c r="P97" s="261"/>
      <c r="Q97" s="183"/>
      <c r="R97" s="183"/>
      <c r="S97" s="10">
        <f t="shared" si="19"/>
        <v>0</v>
      </c>
      <c r="T97" s="259"/>
      <c r="U97" s="260"/>
      <c r="V97" s="260"/>
      <c r="W97" s="260"/>
      <c r="X97" s="260"/>
      <c r="Y97" s="305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</row>
    <row r="98" spans="1:39" ht="14.25" customHeight="1" outlineLevel="1" x14ac:dyDescent="0.2">
      <c r="A98" s="37" t="s">
        <v>42</v>
      </c>
      <c r="B98" s="36"/>
      <c r="C98" s="36"/>
      <c r="D98" s="10">
        <f t="shared" si="18"/>
        <v>0</v>
      </c>
      <c r="E98" s="241"/>
      <c r="F98" s="190"/>
      <c r="G98" s="190"/>
      <c r="H98" s="190"/>
      <c r="I98" s="190"/>
      <c r="J98" s="190"/>
      <c r="K98" s="190"/>
      <c r="L98" s="214" t="s">
        <v>50</v>
      </c>
      <c r="M98" s="190"/>
      <c r="N98" s="190"/>
      <c r="O98" s="190"/>
      <c r="P98" s="190"/>
      <c r="Q98" s="36"/>
      <c r="R98" s="36"/>
      <c r="S98" s="10">
        <f t="shared" si="19"/>
        <v>0</v>
      </c>
      <c r="T98" s="241"/>
      <c r="U98" s="190"/>
      <c r="V98" s="190"/>
      <c r="W98" s="190"/>
      <c r="X98" s="190"/>
      <c r="Y98" s="20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</row>
    <row r="99" spans="1:39" ht="14.25" customHeight="1" outlineLevel="1" x14ac:dyDescent="0.2">
      <c r="A99" s="37" t="s">
        <v>43</v>
      </c>
      <c r="B99" s="36"/>
      <c r="C99" s="36"/>
      <c r="D99" s="10">
        <f t="shared" si="18"/>
        <v>0</v>
      </c>
      <c r="E99" s="241"/>
      <c r="F99" s="190"/>
      <c r="G99" s="190"/>
      <c r="H99" s="190"/>
      <c r="I99" s="190"/>
      <c r="J99" s="190"/>
      <c r="K99" s="190"/>
      <c r="L99" s="214" t="s">
        <v>51</v>
      </c>
      <c r="M99" s="190"/>
      <c r="N99" s="190"/>
      <c r="O99" s="190"/>
      <c r="P99" s="190"/>
      <c r="Q99" s="36"/>
      <c r="R99" s="36"/>
      <c r="S99" s="10">
        <f t="shared" si="19"/>
        <v>0</v>
      </c>
      <c r="T99" s="241"/>
      <c r="U99" s="190"/>
      <c r="V99" s="190"/>
      <c r="W99" s="190"/>
      <c r="X99" s="190"/>
      <c r="Y99" s="20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</row>
    <row r="100" spans="1:39" ht="14.25" customHeight="1" outlineLevel="1" x14ac:dyDescent="0.2">
      <c r="A100" s="37" t="s">
        <v>44</v>
      </c>
      <c r="B100" s="36"/>
      <c r="C100" s="36"/>
      <c r="D100" s="10">
        <f t="shared" si="18"/>
        <v>0</v>
      </c>
      <c r="E100" s="241"/>
      <c r="F100" s="190"/>
      <c r="G100" s="190"/>
      <c r="H100" s="190"/>
      <c r="I100" s="190"/>
      <c r="J100" s="190"/>
      <c r="K100" s="190"/>
      <c r="L100" s="214" t="s">
        <v>589</v>
      </c>
      <c r="M100" s="190"/>
      <c r="N100" s="190"/>
      <c r="O100" s="190"/>
      <c r="P100" s="190"/>
      <c r="Q100" s="36"/>
      <c r="R100" s="36"/>
      <c r="S100" s="10">
        <f t="shared" si="19"/>
        <v>0</v>
      </c>
      <c r="T100" s="241"/>
      <c r="U100" s="190"/>
      <c r="V100" s="190"/>
      <c r="W100" s="190"/>
      <c r="X100" s="190"/>
      <c r="Y100" s="20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</row>
    <row r="101" spans="1:39" ht="14.25" customHeight="1" outlineLevel="1" x14ac:dyDescent="0.2">
      <c r="A101" s="37" t="s">
        <v>45</v>
      </c>
      <c r="B101" s="36"/>
      <c r="C101" s="36"/>
      <c r="D101" s="10">
        <f t="shared" si="18"/>
        <v>0</v>
      </c>
      <c r="E101" s="241"/>
      <c r="F101" s="190"/>
      <c r="G101" s="190"/>
      <c r="H101" s="190"/>
      <c r="I101" s="190"/>
      <c r="J101" s="190"/>
      <c r="K101" s="190"/>
      <c r="L101" s="214" t="s">
        <v>590</v>
      </c>
      <c r="M101" s="190"/>
      <c r="N101" s="190"/>
      <c r="O101" s="190"/>
      <c r="P101" s="190"/>
      <c r="Q101" s="36"/>
      <c r="R101" s="36"/>
      <c r="S101" s="10">
        <f t="shared" si="19"/>
        <v>0</v>
      </c>
      <c r="T101" s="241"/>
      <c r="U101" s="190"/>
      <c r="V101" s="190"/>
      <c r="W101" s="190"/>
      <c r="X101" s="190"/>
      <c r="Y101" s="20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</row>
    <row r="102" spans="1:39" ht="14.25" customHeight="1" outlineLevel="1" x14ac:dyDescent="0.2">
      <c r="A102" s="40" t="s">
        <v>46</v>
      </c>
      <c r="B102" s="72"/>
      <c r="C102" s="72"/>
      <c r="D102" s="10">
        <f t="shared" si="18"/>
        <v>0</v>
      </c>
      <c r="E102" s="228"/>
      <c r="F102" s="207"/>
      <c r="G102" s="207"/>
      <c r="H102" s="207"/>
      <c r="I102" s="207"/>
      <c r="J102" s="207"/>
      <c r="K102" s="208"/>
      <c r="L102" s="214" t="s">
        <v>587</v>
      </c>
      <c r="M102" s="190"/>
      <c r="N102" s="190"/>
      <c r="O102" s="190"/>
      <c r="P102" s="190"/>
      <c r="Q102" s="36"/>
      <c r="R102" s="36"/>
      <c r="S102" s="10">
        <f t="shared" si="19"/>
        <v>0</v>
      </c>
      <c r="T102" s="241"/>
      <c r="U102" s="190"/>
      <c r="V102" s="190"/>
      <c r="W102" s="190"/>
      <c r="X102" s="190"/>
      <c r="Y102" s="20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</row>
    <row r="103" spans="1:39" ht="14.25" customHeight="1" outlineLevel="1" thickBot="1" x14ac:dyDescent="0.25">
      <c r="A103" s="29" t="s">
        <v>47</v>
      </c>
      <c r="B103" s="186"/>
      <c r="C103" s="186"/>
      <c r="D103" s="10">
        <f t="shared" si="18"/>
        <v>0</v>
      </c>
      <c r="E103" s="230"/>
      <c r="F103" s="210"/>
      <c r="G103" s="210"/>
      <c r="H103" s="210"/>
      <c r="I103" s="210"/>
      <c r="J103" s="210"/>
      <c r="K103" s="211"/>
      <c r="L103" s="120" t="s">
        <v>588</v>
      </c>
      <c r="M103" s="121"/>
      <c r="N103" s="121"/>
      <c r="O103" s="121"/>
      <c r="P103" s="119"/>
      <c r="Q103" s="184"/>
      <c r="R103" s="184"/>
      <c r="S103" s="10">
        <f t="shared" si="19"/>
        <v>0</v>
      </c>
      <c r="T103" s="122"/>
      <c r="U103" s="121"/>
      <c r="V103" s="121"/>
      <c r="W103" s="121"/>
      <c r="X103" s="121"/>
      <c r="Y103" s="1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</row>
    <row r="104" spans="1:39" ht="15.75" customHeight="1" outlineLevel="1" x14ac:dyDescent="0.2">
      <c r="A104" s="378" t="s">
        <v>76</v>
      </c>
      <c r="B104" s="379" t="s">
        <v>253</v>
      </c>
      <c r="C104" s="322"/>
      <c r="D104" s="380"/>
      <c r="E104" s="381" t="s">
        <v>0</v>
      </c>
      <c r="F104" s="382"/>
      <c r="G104" s="382"/>
      <c r="H104" s="382"/>
      <c r="I104" s="382"/>
      <c r="J104" s="382"/>
      <c r="K104" s="383"/>
      <c r="L104" s="384" t="s">
        <v>76</v>
      </c>
      <c r="M104" s="382"/>
      <c r="N104" s="382"/>
      <c r="O104" s="382"/>
      <c r="P104" s="383"/>
      <c r="Q104" s="379" t="s">
        <v>253</v>
      </c>
      <c r="R104" s="322"/>
      <c r="S104" s="380"/>
      <c r="T104" s="381" t="s">
        <v>0</v>
      </c>
      <c r="U104" s="382"/>
      <c r="V104" s="382"/>
      <c r="W104" s="382"/>
      <c r="X104" s="382"/>
      <c r="Y104" s="390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</row>
    <row r="105" spans="1:39" ht="15.75" customHeight="1" outlineLevel="1" x14ac:dyDescent="0.2">
      <c r="A105" s="334"/>
      <c r="B105" s="5" t="s">
        <v>22</v>
      </c>
      <c r="C105" s="5" t="s">
        <v>23</v>
      </c>
      <c r="D105" s="5" t="s">
        <v>24</v>
      </c>
      <c r="E105" s="220"/>
      <c r="F105" s="221"/>
      <c r="G105" s="221"/>
      <c r="H105" s="221"/>
      <c r="I105" s="221"/>
      <c r="J105" s="221"/>
      <c r="K105" s="222"/>
      <c r="L105" s="220"/>
      <c r="M105" s="221"/>
      <c r="N105" s="221"/>
      <c r="O105" s="221"/>
      <c r="P105" s="222"/>
      <c r="Q105" s="5" t="s">
        <v>22</v>
      </c>
      <c r="R105" s="5" t="s">
        <v>23</v>
      </c>
      <c r="S105" s="5" t="s">
        <v>24</v>
      </c>
      <c r="T105" s="220"/>
      <c r="U105" s="221"/>
      <c r="V105" s="221"/>
      <c r="W105" s="221"/>
      <c r="X105" s="221"/>
      <c r="Y105" s="227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</row>
    <row r="106" spans="1:39" ht="15.75" customHeight="1" outlineLevel="1" x14ac:dyDescent="0.2">
      <c r="A106" s="376" t="s">
        <v>579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29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</row>
    <row r="107" spans="1:39" ht="18.75" customHeight="1" outlineLevel="1" x14ac:dyDescent="0.2">
      <c r="A107" s="70" t="s">
        <v>52</v>
      </c>
      <c r="B107" s="187"/>
      <c r="C107" s="187"/>
      <c r="D107" s="10">
        <f>SUM(B107:C107)</f>
        <v>0</v>
      </c>
      <c r="E107" s="192"/>
      <c r="F107" s="212"/>
      <c r="G107" s="212"/>
      <c r="H107" s="212"/>
      <c r="I107" s="212"/>
      <c r="J107" s="212"/>
      <c r="K107" s="213"/>
      <c r="L107" s="204" t="s">
        <v>54</v>
      </c>
      <c r="M107" s="212"/>
      <c r="N107" s="212"/>
      <c r="O107" s="212"/>
      <c r="P107" s="213"/>
      <c r="Q107" s="187"/>
      <c r="R107" s="187"/>
      <c r="S107" s="10">
        <f>SUM(Q107:R107)</f>
        <v>0</v>
      </c>
      <c r="T107" s="192"/>
      <c r="U107" s="212"/>
      <c r="V107" s="212"/>
      <c r="W107" s="212"/>
      <c r="X107" s="212"/>
      <c r="Y107" s="239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</row>
    <row r="108" spans="1:39" ht="18.75" customHeight="1" outlineLevel="1" x14ac:dyDescent="0.2">
      <c r="A108" s="70" t="s">
        <v>78</v>
      </c>
      <c r="B108" s="187"/>
      <c r="C108" s="187"/>
      <c r="D108" s="10">
        <f>SUM(B108:C108)</f>
        <v>0</v>
      </c>
      <c r="E108" s="192"/>
      <c r="F108" s="212"/>
      <c r="G108" s="212"/>
      <c r="H108" s="212"/>
      <c r="I108" s="212"/>
      <c r="J108" s="212"/>
      <c r="K108" s="213"/>
      <c r="L108" s="204" t="s">
        <v>55</v>
      </c>
      <c r="M108" s="212"/>
      <c r="N108" s="212"/>
      <c r="O108" s="212"/>
      <c r="P108" s="213"/>
      <c r="Q108" s="187"/>
      <c r="R108" s="187"/>
      <c r="S108" s="10">
        <f>SUM(Q108:R108)</f>
        <v>0</v>
      </c>
      <c r="T108" s="192"/>
      <c r="U108" s="212"/>
      <c r="V108" s="212"/>
      <c r="W108" s="212"/>
      <c r="X108" s="212"/>
      <c r="Y108" s="239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</row>
    <row r="109" spans="1:39" ht="18.75" customHeight="1" outlineLevel="1" x14ac:dyDescent="0.2">
      <c r="A109" s="70" t="s">
        <v>79</v>
      </c>
      <c r="B109" s="187"/>
      <c r="C109" s="187"/>
      <c r="D109" s="10">
        <f>SUM(B109:C109)</f>
        <v>0</v>
      </c>
      <c r="E109" s="192"/>
      <c r="F109" s="212"/>
      <c r="G109" s="212"/>
      <c r="H109" s="212"/>
      <c r="I109" s="212"/>
      <c r="J109" s="212"/>
      <c r="K109" s="213"/>
      <c r="L109" s="204" t="s">
        <v>56</v>
      </c>
      <c r="M109" s="212"/>
      <c r="N109" s="212"/>
      <c r="O109" s="212"/>
      <c r="P109" s="213"/>
      <c r="Q109" s="187"/>
      <c r="R109" s="187"/>
      <c r="S109" s="10">
        <f>SUM(Q109:R109)</f>
        <v>0</v>
      </c>
      <c r="T109" s="192"/>
      <c r="U109" s="212"/>
      <c r="V109" s="212"/>
      <c r="W109" s="212"/>
      <c r="X109" s="212"/>
      <c r="Y109" s="239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</row>
    <row r="110" spans="1:39" ht="18.75" customHeight="1" outlineLevel="1" x14ac:dyDescent="0.2">
      <c r="A110" s="62" t="s">
        <v>53</v>
      </c>
      <c r="B110" s="188"/>
      <c r="C110" s="188"/>
      <c r="D110" s="10">
        <f>SUM(B110:C110)</f>
        <v>0</v>
      </c>
      <c r="E110" s="259"/>
      <c r="F110" s="260"/>
      <c r="G110" s="260"/>
      <c r="H110" s="260"/>
      <c r="I110" s="260"/>
      <c r="J110" s="260"/>
      <c r="K110" s="261"/>
      <c r="L110" s="385"/>
      <c r="M110" s="319"/>
      <c r="N110" s="319"/>
      <c r="O110" s="319"/>
      <c r="P110" s="319"/>
      <c r="Q110" s="67"/>
      <c r="R110" s="67"/>
      <c r="S110" s="67"/>
      <c r="T110" s="385"/>
      <c r="U110" s="319"/>
      <c r="V110" s="319"/>
      <c r="W110" s="319"/>
      <c r="X110" s="319"/>
      <c r="Y110" s="389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</row>
    <row r="111" spans="1:39" ht="15" customHeight="1" outlineLevel="1" x14ac:dyDescent="0.2">
      <c r="A111" s="386" t="s">
        <v>258</v>
      </c>
      <c r="B111" s="387"/>
      <c r="C111" s="387"/>
      <c r="D111" s="387"/>
      <c r="E111" s="387"/>
      <c r="F111" s="387"/>
      <c r="G111" s="387"/>
      <c r="H111" s="387"/>
      <c r="I111" s="387"/>
      <c r="J111" s="387"/>
      <c r="K111" s="387"/>
      <c r="L111" s="387"/>
      <c r="M111" s="387"/>
      <c r="N111" s="387"/>
      <c r="O111" s="387"/>
      <c r="P111" s="387"/>
      <c r="Q111" s="387"/>
      <c r="R111" s="387"/>
      <c r="S111" s="387"/>
      <c r="T111" s="387"/>
      <c r="U111" s="387"/>
      <c r="V111" s="387"/>
      <c r="W111" s="387"/>
      <c r="X111" s="387"/>
      <c r="Y111" s="388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</row>
    <row r="112" spans="1:39" ht="30" customHeight="1" outlineLevel="1" x14ac:dyDescent="0.2">
      <c r="A112" s="25" t="s">
        <v>57</v>
      </c>
      <c r="B112" s="7"/>
      <c r="C112" s="7"/>
      <c r="D112" s="10">
        <f t="shared" ref="D112:D122" si="20">SUM(B112:C112)</f>
        <v>0</v>
      </c>
      <c r="E112" s="192"/>
      <c r="F112" s="212"/>
      <c r="G112" s="212"/>
      <c r="H112" s="212"/>
      <c r="I112" s="212"/>
      <c r="J112" s="212"/>
      <c r="K112" s="213"/>
      <c r="L112" s="204" t="s">
        <v>80</v>
      </c>
      <c r="M112" s="212"/>
      <c r="N112" s="212"/>
      <c r="O112" s="212"/>
      <c r="P112" s="213"/>
      <c r="Q112" s="7"/>
      <c r="R112" s="7"/>
      <c r="S112" s="10">
        <f t="shared" ref="S112:S121" si="21">SUM(Q112:R112)</f>
        <v>0</v>
      </c>
      <c r="T112" s="192"/>
      <c r="U112" s="212"/>
      <c r="V112" s="212"/>
      <c r="W112" s="212"/>
      <c r="X112" s="212"/>
      <c r="Y112" s="239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</row>
    <row r="113" spans="1:39" ht="30" customHeight="1" outlineLevel="1" x14ac:dyDescent="0.2">
      <c r="A113" s="25" t="s">
        <v>58</v>
      </c>
      <c r="B113" s="7"/>
      <c r="C113" s="7"/>
      <c r="D113" s="10">
        <f t="shared" si="20"/>
        <v>0</v>
      </c>
      <c r="E113" s="192"/>
      <c r="F113" s="212"/>
      <c r="G113" s="212"/>
      <c r="H113" s="212"/>
      <c r="I113" s="212"/>
      <c r="J113" s="212"/>
      <c r="K113" s="213"/>
      <c r="L113" s="204" t="s">
        <v>259</v>
      </c>
      <c r="M113" s="212"/>
      <c r="N113" s="212"/>
      <c r="O113" s="212"/>
      <c r="P113" s="213"/>
      <c r="Q113" s="7"/>
      <c r="R113" s="7"/>
      <c r="S113" s="10">
        <f t="shared" si="21"/>
        <v>0</v>
      </c>
      <c r="T113" s="192"/>
      <c r="U113" s="212"/>
      <c r="V113" s="212"/>
      <c r="W113" s="212"/>
      <c r="X113" s="212"/>
      <c r="Y113" s="239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</row>
    <row r="114" spans="1:39" ht="30.75" customHeight="1" outlineLevel="1" x14ac:dyDescent="0.2">
      <c r="A114" s="25" t="s">
        <v>260</v>
      </c>
      <c r="B114" s="7"/>
      <c r="C114" s="7"/>
      <c r="D114" s="10">
        <f t="shared" si="20"/>
        <v>0</v>
      </c>
      <c r="E114" s="192"/>
      <c r="F114" s="212"/>
      <c r="G114" s="212"/>
      <c r="H114" s="212"/>
      <c r="I114" s="212"/>
      <c r="J114" s="212"/>
      <c r="K114" s="213"/>
      <c r="L114" s="204" t="s">
        <v>261</v>
      </c>
      <c r="M114" s="212"/>
      <c r="N114" s="212"/>
      <c r="O114" s="212"/>
      <c r="P114" s="213"/>
      <c r="Q114" s="7"/>
      <c r="R114" s="7"/>
      <c r="S114" s="10">
        <f t="shared" si="21"/>
        <v>0</v>
      </c>
      <c r="T114" s="192"/>
      <c r="U114" s="212"/>
      <c r="V114" s="212"/>
      <c r="W114" s="212"/>
      <c r="X114" s="212"/>
      <c r="Y114" s="239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</row>
    <row r="115" spans="1:39" ht="42" customHeight="1" outlineLevel="1" x14ac:dyDescent="0.2">
      <c r="A115" s="25" t="s">
        <v>262</v>
      </c>
      <c r="B115" s="7"/>
      <c r="C115" s="7"/>
      <c r="D115" s="10">
        <f t="shared" si="20"/>
        <v>0</v>
      </c>
      <c r="E115" s="192"/>
      <c r="F115" s="212"/>
      <c r="G115" s="212"/>
      <c r="H115" s="212"/>
      <c r="I115" s="212"/>
      <c r="J115" s="212"/>
      <c r="K115" s="213"/>
      <c r="L115" s="204" t="s">
        <v>263</v>
      </c>
      <c r="M115" s="212"/>
      <c r="N115" s="212"/>
      <c r="O115" s="212"/>
      <c r="P115" s="213"/>
      <c r="Q115" s="7"/>
      <c r="R115" s="7"/>
      <c r="S115" s="10">
        <f t="shared" si="21"/>
        <v>0</v>
      </c>
      <c r="T115" s="192"/>
      <c r="U115" s="212"/>
      <c r="V115" s="212"/>
      <c r="W115" s="212"/>
      <c r="X115" s="212"/>
      <c r="Y115" s="239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</row>
    <row r="116" spans="1:39" ht="27.75" customHeight="1" outlineLevel="1" x14ac:dyDescent="0.2">
      <c r="A116" s="25" t="s">
        <v>81</v>
      </c>
      <c r="B116" s="7"/>
      <c r="C116" s="7"/>
      <c r="D116" s="10">
        <f t="shared" si="20"/>
        <v>0</v>
      </c>
      <c r="E116" s="192"/>
      <c r="F116" s="212"/>
      <c r="G116" s="212"/>
      <c r="H116" s="212"/>
      <c r="I116" s="212"/>
      <c r="J116" s="212"/>
      <c r="K116" s="213"/>
      <c r="L116" s="204" t="s">
        <v>62</v>
      </c>
      <c r="M116" s="212"/>
      <c r="N116" s="212"/>
      <c r="O116" s="212"/>
      <c r="P116" s="213"/>
      <c r="Q116" s="7"/>
      <c r="R116" s="7"/>
      <c r="S116" s="10">
        <f t="shared" si="21"/>
        <v>0</v>
      </c>
      <c r="T116" s="192"/>
      <c r="U116" s="212"/>
      <c r="V116" s="212"/>
      <c r="W116" s="212"/>
      <c r="X116" s="212"/>
      <c r="Y116" s="239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</row>
    <row r="117" spans="1:39" ht="15.75" customHeight="1" outlineLevel="1" x14ac:dyDescent="0.2">
      <c r="A117" s="25" t="s">
        <v>264</v>
      </c>
      <c r="B117" s="7"/>
      <c r="C117" s="7"/>
      <c r="D117" s="10">
        <f t="shared" si="20"/>
        <v>0</v>
      </c>
      <c r="E117" s="192"/>
      <c r="F117" s="212"/>
      <c r="G117" s="212"/>
      <c r="H117" s="212"/>
      <c r="I117" s="212"/>
      <c r="J117" s="212"/>
      <c r="K117" s="213"/>
      <c r="L117" s="353" t="s">
        <v>265</v>
      </c>
      <c r="M117" s="212"/>
      <c r="N117" s="212"/>
      <c r="O117" s="212"/>
      <c r="P117" s="213"/>
      <c r="Q117" s="7"/>
      <c r="R117" s="7"/>
      <c r="S117" s="10">
        <f t="shared" si="21"/>
        <v>0</v>
      </c>
      <c r="T117" s="192"/>
      <c r="U117" s="212"/>
      <c r="V117" s="212"/>
      <c r="W117" s="212"/>
      <c r="X117" s="212"/>
      <c r="Y117" s="239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</row>
    <row r="118" spans="1:39" ht="15.75" customHeight="1" outlineLevel="1" x14ac:dyDescent="0.2">
      <c r="A118" s="25" t="s">
        <v>266</v>
      </c>
      <c r="B118" s="7"/>
      <c r="C118" s="7"/>
      <c r="D118" s="10">
        <f t="shared" si="20"/>
        <v>0</v>
      </c>
      <c r="E118" s="192"/>
      <c r="F118" s="212"/>
      <c r="G118" s="212"/>
      <c r="H118" s="212"/>
      <c r="I118" s="212"/>
      <c r="J118" s="212"/>
      <c r="K118" s="213"/>
      <c r="L118" s="353" t="s">
        <v>63</v>
      </c>
      <c r="M118" s="212"/>
      <c r="N118" s="212"/>
      <c r="O118" s="212"/>
      <c r="P118" s="213"/>
      <c r="Q118" s="7"/>
      <c r="R118" s="7"/>
      <c r="S118" s="10">
        <f t="shared" si="21"/>
        <v>0</v>
      </c>
      <c r="T118" s="192"/>
      <c r="U118" s="212"/>
      <c r="V118" s="212"/>
      <c r="W118" s="212"/>
      <c r="X118" s="212"/>
      <c r="Y118" s="239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</row>
    <row r="119" spans="1:39" ht="15.75" customHeight="1" outlineLevel="1" x14ac:dyDescent="0.2">
      <c r="A119" s="25" t="s">
        <v>267</v>
      </c>
      <c r="B119" s="7"/>
      <c r="C119" s="7"/>
      <c r="D119" s="10">
        <f t="shared" si="20"/>
        <v>0</v>
      </c>
      <c r="E119" s="192"/>
      <c r="F119" s="212"/>
      <c r="G119" s="212"/>
      <c r="H119" s="212"/>
      <c r="I119" s="212"/>
      <c r="J119" s="212"/>
      <c r="K119" s="213"/>
      <c r="L119" s="204" t="s">
        <v>64</v>
      </c>
      <c r="M119" s="212"/>
      <c r="N119" s="212"/>
      <c r="O119" s="212"/>
      <c r="P119" s="213"/>
      <c r="Q119" s="7"/>
      <c r="R119" s="7"/>
      <c r="S119" s="10">
        <f t="shared" si="21"/>
        <v>0</v>
      </c>
      <c r="T119" s="192"/>
      <c r="U119" s="212"/>
      <c r="V119" s="212"/>
      <c r="W119" s="212"/>
      <c r="X119" s="212"/>
      <c r="Y119" s="239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</row>
    <row r="120" spans="1:39" ht="15.75" customHeight="1" outlineLevel="1" x14ac:dyDescent="0.2">
      <c r="A120" s="25" t="s">
        <v>59</v>
      </c>
      <c r="B120" s="7"/>
      <c r="C120" s="7"/>
      <c r="D120" s="10">
        <f t="shared" si="20"/>
        <v>0</v>
      </c>
      <c r="E120" s="192"/>
      <c r="F120" s="212"/>
      <c r="G120" s="212"/>
      <c r="H120" s="212"/>
      <c r="I120" s="212"/>
      <c r="J120" s="212"/>
      <c r="K120" s="213"/>
      <c r="L120" s="204" t="s">
        <v>65</v>
      </c>
      <c r="M120" s="212"/>
      <c r="N120" s="212"/>
      <c r="O120" s="212"/>
      <c r="P120" s="213"/>
      <c r="Q120" s="7"/>
      <c r="R120" s="7"/>
      <c r="S120" s="10">
        <f t="shared" si="21"/>
        <v>0</v>
      </c>
      <c r="T120" s="192"/>
      <c r="U120" s="212"/>
      <c r="V120" s="212"/>
      <c r="W120" s="212"/>
      <c r="X120" s="212"/>
      <c r="Y120" s="239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</row>
    <row r="121" spans="1:39" ht="15.75" customHeight="1" outlineLevel="1" x14ac:dyDescent="0.2">
      <c r="A121" s="25" t="s">
        <v>60</v>
      </c>
      <c r="B121" s="7"/>
      <c r="C121" s="7"/>
      <c r="D121" s="10">
        <f t="shared" si="20"/>
        <v>0</v>
      </c>
      <c r="E121" s="192"/>
      <c r="F121" s="212"/>
      <c r="G121" s="212"/>
      <c r="H121" s="212"/>
      <c r="I121" s="212"/>
      <c r="J121" s="212"/>
      <c r="K121" s="213"/>
      <c r="L121" s="204" t="s">
        <v>66</v>
      </c>
      <c r="M121" s="212"/>
      <c r="N121" s="212"/>
      <c r="O121" s="212"/>
      <c r="P121" s="213"/>
      <c r="Q121" s="7"/>
      <c r="R121" s="7"/>
      <c r="S121" s="10">
        <f t="shared" si="21"/>
        <v>0</v>
      </c>
      <c r="T121" s="192"/>
      <c r="U121" s="212"/>
      <c r="V121" s="212"/>
      <c r="W121" s="212"/>
      <c r="X121" s="212"/>
      <c r="Y121" s="239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</row>
    <row r="122" spans="1:39" ht="15.75" customHeight="1" outlineLevel="1" x14ac:dyDescent="0.2">
      <c r="A122" s="43" t="s">
        <v>61</v>
      </c>
      <c r="B122" s="183"/>
      <c r="C122" s="183"/>
      <c r="D122" s="10">
        <f t="shared" si="20"/>
        <v>0</v>
      </c>
      <c r="E122" s="259"/>
      <c r="F122" s="260"/>
      <c r="G122" s="260"/>
      <c r="H122" s="260"/>
      <c r="I122" s="260"/>
      <c r="J122" s="260"/>
      <c r="K122" s="261"/>
      <c r="L122" s="391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237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</row>
    <row r="123" spans="1:39" ht="16.5" customHeight="1" outlineLevel="1" x14ac:dyDescent="0.2">
      <c r="A123" s="386" t="s">
        <v>268</v>
      </c>
      <c r="B123" s="387"/>
      <c r="C123" s="387"/>
      <c r="D123" s="387"/>
      <c r="E123" s="387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8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</row>
    <row r="124" spans="1:39" customFormat="1" ht="15.75" customHeight="1" outlineLevel="1" x14ac:dyDescent="0.2">
      <c r="A124" s="25" t="s">
        <v>67</v>
      </c>
      <c r="B124" s="7"/>
      <c r="C124" s="7"/>
      <c r="D124" s="10">
        <f t="shared" ref="D124:D130" si="22">SUM(B124:C124)</f>
        <v>0</v>
      </c>
      <c r="E124" s="192"/>
      <c r="F124" s="193"/>
      <c r="G124" s="193"/>
      <c r="H124" s="193"/>
      <c r="I124" s="193"/>
      <c r="J124" s="193"/>
      <c r="K124" s="194"/>
      <c r="L124" s="204" t="s">
        <v>74</v>
      </c>
      <c r="M124" s="193"/>
      <c r="N124" s="193"/>
      <c r="O124" s="193"/>
      <c r="P124" s="194"/>
      <c r="Q124" s="7"/>
      <c r="R124" s="7"/>
      <c r="S124" s="10">
        <f t="shared" ref="S124:S129" si="23">SUM(Q124:R124)</f>
        <v>0</v>
      </c>
      <c r="T124" s="192"/>
      <c r="U124" s="193"/>
      <c r="V124" s="193"/>
      <c r="W124" s="193"/>
      <c r="X124" s="193"/>
      <c r="Y124" s="196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</row>
    <row r="125" spans="1:39" customFormat="1" ht="29.25" customHeight="1" outlineLevel="1" x14ac:dyDescent="0.2">
      <c r="A125" s="25" t="s">
        <v>68</v>
      </c>
      <c r="B125" s="7"/>
      <c r="C125" s="7"/>
      <c r="D125" s="10">
        <f t="shared" si="22"/>
        <v>0</v>
      </c>
      <c r="E125" s="192"/>
      <c r="F125" s="193"/>
      <c r="G125" s="193"/>
      <c r="H125" s="193"/>
      <c r="I125" s="193"/>
      <c r="J125" s="193"/>
      <c r="K125" s="194"/>
      <c r="L125" s="204" t="s">
        <v>75</v>
      </c>
      <c r="M125" s="193"/>
      <c r="N125" s="193"/>
      <c r="O125" s="193"/>
      <c r="P125" s="194"/>
      <c r="Q125" s="7"/>
      <c r="R125" s="7"/>
      <c r="S125" s="10">
        <f t="shared" si="23"/>
        <v>0</v>
      </c>
      <c r="T125" s="192"/>
      <c r="U125" s="193"/>
      <c r="V125" s="193"/>
      <c r="W125" s="193"/>
      <c r="X125" s="193"/>
      <c r="Y125" s="196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</row>
    <row r="126" spans="1:39" customFormat="1" ht="15" customHeight="1" outlineLevel="1" x14ac:dyDescent="0.2">
      <c r="A126" s="25" t="s">
        <v>69</v>
      </c>
      <c r="B126" s="7"/>
      <c r="C126" s="7"/>
      <c r="D126" s="10">
        <f t="shared" si="22"/>
        <v>0</v>
      </c>
      <c r="E126" s="192"/>
      <c r="F126" s="193"/>
      <c r="G126" s="193"/>
      <c r="H126" s="193"/>
      <c r="I126" s="193"/>
      <c r="J126" s="193"/>
      <c r="K126" s="194"/>
      <c r="L126" s="108" t="s">
        <v>574</v>
      </c>
      <c r="M126" s="109"/>
      <c r="N126" s="109"/>
      <c r="O126" s="109"/>
      <c r="P126" s="110"/>
      <c r="Q126" s="7"/>
      <c r="R126" s="7"/>
      <c r="S126" s="10">
        <f t="shared" si="23"/>
        <v>0</v>
      </c>
      <c r="T126" s="192"/>
      <c r="U126" s="193"/>
      <c r="V126" s="193"/>
      <c r="W126" s="193"/>
      <c r="X126" s="193"/>
      <c r="Y126" s="196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</row>
    <row r="127" spans="1:39" customFormat="1" ht="28.5" customHeight="1" outlineLevel="1" x14ac:dyDescent="0.2">
      <c r="A127" s="25" t="s">
        <v>70</v>
      </c>
      <c r="B127" s="7"/>
      <c r="C127" s="7"/>
      <c r="D127" s="10">
        <f t="shared" si="22"/>
        <v>0</v>
      </c>
      <c r="E127" s="192"/>
      <c r="F127" s="193"/>
      <c r="G127" s="193"/>
      <c r="H127" s="193"/>
      <c r="I127" s="193"/>
      <c r="J127" s="193"/>
      <c r="K127" s="194"/>
      <c r="L127" s="108" t="s">
        <v>575</v>
      </c>
      <c r="M127" s="109"/>
      <c r="N127" s="109"/>
      <c r="O127" s="109"/>
      <c r="P127" s="110"/>
      <c r="Q127" s="7"/>
      <c r="R127" s="7"/>
      <c r="S127" s="10">
        <f t="shared" si="23"/>
        <v>0</v>
      </c>
      <c r="T127" s="192"/>
      <c r="U127" s="193"/>
      <c r="V127" s="193"/>
      <c r="W127" s="193"/>
      <c r="X127" s="193"/>
      <c r="Y127" s="196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</row>
    <row r="128" spans="1:39" customFormat="1" ht="15.75" customHeight="1" outlineLevel="1" x14ac:dyDescent="0.2">
      <c r="A128" s="25" t="s">
        <v>71</v>
      </c>
      <c r="B128" s="7"/>
      <c r="C128" s="7"/>
      <c r="D128" s="10">
        <f t="shared" si="22"/>
        <v>0</v>
      </c>
      <c r="E128" s="192"/>
      <c r="F128" s="193"/>
      <c r="G128" s="193"/>
      <c r="H128" s="193"/>
      <c r="I128" s="193"/>
      <c r="J128" s="193"/>
      <c r="K128" s="194"/>
      <c r="L128" s="108" t="s">
        <v>576</v>
      </c>
      <c r="M128" s="109"/>
      <c r="N128" s="109"/>
      <c r="O128" s="109"/>
      <c r="P128" s="110"/>
      <c r="Q128" s="7"/>
      <c r="R128" s="7"/>
      <c r="S128" s="10">
        <f t="shared" si="23"/>
        <v>0</v>
      </c>
      <c r="T128" s="192"/>
      <c r="U128" s="193"/>
      <c r="V128" s="193"/>
      <c r="W128" s="193"/>
      <c r="X128" s="193"/>
      <c r="Y128" s="196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</row>
    <row r="129" spans="1:39" customFormat="1" ht="14.25" customHeight="1" outlineLevel="1" x14ac:dyDescent="0.2">
      <c r="A129" s="25" t="s">
        <v>72</v>
      </c>
      <c r="B129" s="7"/>
      <c r="C129" s="7"/>
      <c r="D129" s="10">
        <f t="shared" si="22"/>
        <v>0</v>
      </c>
      <c r="E129" s="192"/>
      <c r="F129" s="193"/>
      <c r="G129" s="193"/>
      <c r="H129" s="193"/>
      <c r="I129" s="193"/>
      <c r="J129" s="193"/>
      <c r="K129" s="194"/>
      <c r="L129" s="108" t="s">
        <v>577</v>
      </c>
      <c r="M129" s="109"/>
      <c r="N129" s="109"/>
      <c r="O129" s="109"/>
      <c r="P129" s="110"/>
      <c r="Q129" s="7"/>
      <c r="R129" s="7"/>
      <c r="S129" s="10">
        <f t="shared" si="23"/>
        <v>0</v>
      </c>
      <c r="T129" s="192"/>
      <c r="U129" s="193"/>
      <c r="V129" s="193"/>
      <c r="W129" s="193"/>
      <c r="X129" s="193"/>
      <c r="Y129" s="196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</row>
    <row r="130" spans="1:39" customFormat="1" ht="27" customHeight="1" outlineLevel="1" x14ac:dyDescent="0.2">
      <c r="A130" s="62" t="s">
        <v>73</v>
      </c>
      <c r="B130" s="7"/>
      <c r="C130" s="7"/>
      <c r="D130" s="10">
        <f t="shared" si="22"/>
        <v>0</v>
      </c>
      <c r="E130" s="192"/>
      <c r="F130" s="193"/>
      <c r="G130" s="193"/>
      <c r="H130" s="193"/>
      <c r="I130" s="193"/>
      <c r="J130" s="193"/>
      <c r="K130" s="194"/>
      <c r="L130" s="391"/>
      <c r="M130" s="394"/>
      <c r="N130" s="394"/>
      <c r="O130" s="394"/>
      <c r="P130" s="394"/>
      <c r="Q130" s="394"/>
      <c r="R130" s="394"/>
      <c r="S130" s="394"/>
      <c r="T130" s="394"/>
      <c r="U130" s="394"/>
      <c r="V130" s="394"/>
      <c r="W130" s="394"/>
      <c r="X130" s="394"/>
      <c r="Y130" s="395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</row>
    <row r="131" spans="1:39" ht="15.75" customHeight="1" outlineLevel="1" x14ac:dyDescent="0.2">
      <c r="A131" s="337" t="s">
        <v>269</v>
      </c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7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</row>
    <row r="132" spans="1:39" ht="15.75" customHeight="1" outlineLevel="1" x14ac:dyDescent="0.2">
      <c r="A132" s="332" t="s">
        <v>76</v>
      </c>
      <c r="B132" s="223" t="s">
        <v>253</v>
      </c>
      <c r="C132" s="225"/>
      <c r="D132" s="215" t="s">
        <v>24</v>
      </c>
      <c r="E132" s="217" t="s">
        <v>0</v>
      </c>
      <c r="F132" s="218"/>
      <c r="G132" s="218"/>
      <c r="H132" s="218"/>
      <c r="I132" s="218"/>
      <c r="J132" s="218"/>
      <c r="K132" s="219"/>
      <c r="L132" s="329" t="s">
        <v>76</v>
      </c>
      <c r="M132" s="218"/>
      <c r="N132" s="218"/>
      <c r="O132" s="219"/>
      <c r="P132" s="223" t="s">
        <v>253</v>
      </c>
      <c r="Q132" s="225"/>
      <c r="R132" s="215" t="s">
        <v>24</v>
      </c>
      <c r="S132" s="217" t="s">
        <v>0</v>
      </c>
      <c r="T132" s="218"/>
      <c r="U132" s="218"/>
      <c r="V132" s="218"/>
      <c r="W132" s="218"/>
      <c r="X132" s="218"/>
      <c r="Y132" s="226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</row>
    <row r="133" spans="1:39" ht="15.75" customHeight="1" outlineLevel="1" x14ac:dyDescent="0.2">
      <c r="A133" s="334"/>
      <c r="B133" s="5" t="s">
        <v>22</v>
      </c>
      <c r="C133" s="5" t="s">
        <v>23</v>
      </c>
      <c r="D133" s="216"/>
      <c r="E133" s="220"/>
      <c r="F133" s="221"/>
      <c r="G133" s="221"/>
      <c r="H133" s="221"/>
      <c r="I133" s="221"/>
      <c r="J133" s="221"/>
      <c r="K133" s="222"/>
      <c r="L133" s="220"/>
      <c r="M133" s="221"/>
      <c r="N133" s="221"/>
      <c r="O133" s="222"/>
      <c r="P133" s="5" t="s">
        <v>22</v>
      </c>
      <c r="Q133" s="5" t="s">
        <v>23</v>
      </c>
      <c r="R133" s="216"/>
      <c r="S133" s="220"/>
      <c r="T133" s="221"/>
      <c r="U133" s="221"/>
      <c r="V133" s="221"/>
      <c r="W133" s="221"/>
      <c r="X133" s="221"/>
      <c r="Y133" s="227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</row>
    <row r="134" spans="1:39" ht="15.75" customHeight="1" outlineLevel="1" x14ac:dyDescent="0.2">
      <c r="A134" s="393" t="s">
        <v>270</v>
      </c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29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</row>
    <row r="135" spans="1:39" ht="41.25" customHeight="1" outlineLevel="1" x14ac:dyDescent="0.2">
      <c r="A135" s="71" t="s">
        <v>271</v>
      </c>
      <c r="B135" s="68"/>
      <c r="C135" s="68"/>
      <c r="D135" s="69"/>
      <c r="E135" s="327"/>
      <c r="F135" s="236"/>
      <c r="G135" s="236"/>
      <c r="H135" s="236"/>
      <c r="I135" s="236"/>
      <c r="J135" s="236"/>
      <c r="K135" s="328"/>
      <c r="L135" s="392" t="s">
        <v>272</v>
      </c>
      <c r="M135" s="236"/>
      <c r="N135" s="236"/>
      <c r="O135" s="328"/>
      <c r="P135" s="69"/>
      <c r="Q135" s="69"/>
      <c r="R135" s="69"/>
      <c r="S135" s="327"/>
      <c r="T135" s="236"/>
      <c r="U135" s="236"/>
      <c r="V135" s="236"/>
      <c r="W135" s="236"/>
      <c r="X135" s="236"/>
      <c r="Y135" s="237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</row>
    <row r="136" spans="1:39" ht="39.75" customHeight="1" outlineLevel="1" x14ac:dyDescent="0.2">
      <c r="A136" s="37" t="s">
        <v>273</v>
      </c>
      <c r="B136" s="60"/>
      <c r="C136" s="60"/>
      <c r="D136" s="60"/>
      <c r="E136" s="241"/>
      <c r="F136" s="190"/>
      <c r="G136" s="190"/>
      <c r="H136" s="190"/>
      <c r="I136" s="190"/>
      <c r="J136" s="190"/>
      <c r="K136" s="190"/>
      <c r="L136" s="214" t="s">
        <v>274</v>
      </c>
      <c r="M136" s="190"/>
      <c r="N136" s="190"/>
      <c r="O136" s="190"/>
      <c r="P136" s="57"/>
      <c r="Q136" s="57"/>
      <c r="R136" s="60"/>
      <c r="S136" s="241"/>
      <c r="T136" s="190"/>
      <c r="U136" s="190"/>
      <c r="V136" s="190"/>
      <c r="W136" s="190"/>
      <c r="X136" s="190"/>
      <c r="Y136" s="20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</row>
    <row r="137" spans="1:39" ht="39.75" customHeight="1" outlineLevel="1" x14ac:dyDescent="0.2">
      <c r="A137" s="37" t="s">
        <v>275</v>
      </c>
      <c r="B137" s="57"/>
      <c r="C137" s="57"/>
      <c r="D137" s="60"/>
      <c r="E137" s="241"/>
      <c r="F137" s="190"/>
      <c r="G137" s="190"/>
      <c r="H137" s="190"/>
      <c r="I137" s="190"/>
      <c r="J137" s="190"/>
      <c r="K137" s="190"/>
      <c r="L137" s="214" t="s">
        <v>276</v>
      </c>
      <c r="M137" s="190"/>
      <c r="N137" s="190"/>
      <c r="O137" s="190"/>
      <c r="P137" s="57"/>
      <c r="Q137" s="57"/>
      <c r="R137" s="60"/>
      <c r="S137" s="241"/>
      <c r="T137" s="190"/>
      <c r="U137" s="190"/>
      <c r="V137" s="190"/>
      <c r="W137" s="190"/>
      <c r="X137" s="190"/>
      <c r="Y137" s="20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</row>
    <row r="138" spans="1:39" ht="41.25" customHeight="1" outlineLevel="1" x14ac:dyDescent="0.2">
      <c r="A138" s="37" t="s">
        <v>277</v>
      </c>
      <c r="B138" s="57"/>
      <c r="C138" s="57"/>
      <c r="D138" s="60"/>
      <c r="E138" s="241"/>
      <c r="F138" s="190"/>
      <c r="G138" s="190"/>
      <c r="H138" s="190"/>
      <c r="I138" s="190"/>
      <c r="J138" s="190"/>
      <c r="K138" s="190"/>
      <c r="L138" s="214" t="s">
        <v>278</v>
      </c>
      <c r="M138" s="190"/>
      <c r="N138" s="190"/>
      <c r="O138" s="190"/>
      <c r="P138" s="60"/>
      <c r="Q138" s="60"/>
      <c r="R138" s="60"/>
      <c r="S138" s="241"/>
      <c r="T138" s="190"/>
      <c r="U138" s="190"/>
      <c r="V138" s="190"/>
      <c r="W138" s="190"/>
      <c r="X138" s="190"/>
      <c r="Y138" s="20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</row>
    <row r="139" spans="1:39" ht="40.5" customHeight="1" outlineLevel="1" x14ac:dyDescent="0.2">
      <c r="A139" s="37" t="s">
        <v>279</v>
      </c>
      <c r="B139" s="60"/>
      <c r="C139" s="60"/>
      <c r="D139" s="60"/>
      <c r="E139" s="241"/>
      <c r="F139" s="190"/>
      <c r="G139" s="190"/>
      <c r="H139" s="190"/>
      <c r="I139" s="190"/>
      <c r="J139" s="190"/>
      <c r="K139" s="190"/>
      <c r="L139" s="214" t="s">
        <v>280</v>
      </c>
      <c r="M139" s="190"/>
      <c r="N139" s="190"/>
      <c r="O139" s="190"/>
      <c r="P139" s="57"/>
      <c r="Q139" s="57"/>
      <c r="R139" s="60"/>
      <c r="S139" s="241"/>
      <c r="T139" s="190"/>
      <c r="U139" s="190"/>
      <c r="V139" s="190"/>
      <c r="W139" s="190"/>
      <c r="X139" s="190"/>
      <c r="Y139" s="20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</row>
    <row r="140" spans="1:39" ht="42" customHeight="1" outlineLevel="1" x14ac:dyDescent="0.2">
      <c r="A140" s="40" t="s">
        <v>281</v>
      </c>
      <c r="B140" s="1"/>
      <c r="C140" s="1"/>
      <c r="D140" s="11"/>
      <c r="E140" s="228"/>
      <c r="F140" s="207"/>
      <c r="G140" s="207"/>
      <c r="H140" s="207"/>
      <c r="I140" s="207"/>
      <c r="J140" s="207"/>
      <c r="K140" s="208"/>
      <c r="L140" s="206" t="s">
        <v>282</v>
      </c>
      <c r="M140" s="207"/>
      <c r="N140" s="207"/>
      <c r="O140" s="208"/>
      <c r="P140" s="1"/>
      <c r="Q140" s="1"/>
      <c r="R140" s="11"/>
      <c r="S140" s="228"/>
      <c r="T140" s="207"/>
      <c r="U140" s="207"/>
      <c r="V140" s="207"/>
      <c r="W140" s="207"/>
      <c r="X140" s="207"/>
      <c r="Y140" s="229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</row>
    <row r="141" spans="1:39" ht="45.75" customHeight="1" outlineLevel="1" thickBot="1" x14ac:dyDescent="0.25">
      <c r="A141" s="29" t="s">
        <v>283</v>
      </c>
      <c r="B141" s="30"/>
      <c r="C141" s="30"/>
      <c r="D141" s="41"/>
      <c r="E141" s="230"/>
      <c r="F141" s="210"/>
      <c r="G141" s="210"/>
      <c r="H141" s="210"/>
      <c r="I141" s="210"/>
      <c r="J141" s="210"/>
      <c r="K141" s="211"/>
      <c r="L141" s="209" t="s">
        <v>284</v>
      </c>
      <c r="M141" s="210"/>
      <c r="N141" s="210"/>
      <c r="O141" s="211"/>
      <c r="P141" s="41"/>
      <c r="Q141" s="41"/>
      <c r="R141" s="41"/>
      <c r="S141" s="230"/>
      <c r="T141" s="210"/>
      <c r="U141" s="210"/>
      <c r="V141" s="210"/>
      <c r="W141" s="210"/>
      <c r="X141" s="210"/>
      <c r="Y141" s="398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</row>
    <row r="142" spans="1:39" ht="15.75" customHeight="1" outlineLevel="1" x14ac:dyDescent="0.2">
      <c r="A142" s="332" t="s">
        <v>76</v>
      </c>
      <c r="B142" s="223" t="s">
        <v>253</v>
      </c>
      <c r="C142" s="225"/>
      <c r="D142" s="215" t="s">
        <v>24</v>
      </c>
      <c r="E142" s="217" t="s">
        <v>0</v>
      </c>
      <c r="F142" s="218"/>
      <c r="G142" s="218"/>
      <c r="H142" s="218"/>
      <c r="I142" s="218"/>
      <c r="J142" s="218"/>
      <c r="K142" s="219"/>
      <c r="L142" s="329" t="s">
        <v>76</v>
      </c>
      <c r="M142" s="218"/>
      <c r="N142" s="218"/>
      <c r="O142" s="219"/>
      <c r="P142" s="223" t="s">
        <v>253</v>
      </c>
      <c r="Q142" s="225"/>
      <c r="R142" s="215" t="s">
        <v>24</v>
      </c>
      <c r="S142" s="217" t="s">
        <v>0</v>
      </c>
      <c r="T142" s="218"/>
      <c r="U142" s="218"/>
      <c r="V142" s="218"/>
      <c r="W142" s="218"/>
      <c r="X142" s="218"/>
      <c r="Y142" s="226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</row>
    <row r="143" spans="1:39" ht="15.75" customHeight="1" outlineLevel="1" x14ac:dyDescent="0.2">
      <c r="A143" s="334"/>
      <c r="B143" s="5" t="s">
        <v>22</v>
      </c>
      <c r="C143" s="5" t="s">
        <v>23</v>
      </c>
      <c r="D143" s="216"/>
      <c r="E143" s="220"/>
      <c r="F143" s="221"/>
      <c r="G143" s="221"/>
      <c r="H143" s="221"/>
      <c r="I143" s="221"/>
      <c r="J143" s="221"/>
      <c r="K143" s="222"/>
      <c r="L143" s="220"/>
      <c r="M143" s="221"/>
      <c r="N143" s="221"/>
      <c r="O143" s="222"/>
      <c r="P143" s="5" t="s">
        <v>22</v>
      </c>
      <c r="Q143" s="5" t="s">
        <v>23</v>
      </c>
      <c r="R143" s="216"/>
      <c r="S143" s="220"/>
      <c r="T143" s="221"/>
      <c r="U143" s="221"/>
      <c r="V143" s="221"/>
      <c r="W143" s="221"/>
      <c r="X143" s="221"/>
      <c r="Y143" s="227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</row>
    <row r="144" spans="1:39" ht="44.25" customHeight="1" outlineLevel="1" x14ac:dyDescent="0.2">
      <c r="A144" s="25" t="s">
        <v>285</v>
      </c>
      <c r="B144" s="10"/>
      <c r="C144" s="10"/>
      <c r="D144" s="10"/>
      <c r="E144" s="192"/>
      <c r="F144" s="212"/>
      <c r="G144" s="212"/>
      <c r="H144" s="212"/>
      <c r="I144" s="212"/>
      <c r="J144" s="212"/>
      <c r="K144" s="213"/>
      <c r="L144" s="204" t="s">
        <v>286</v>
      </c>
      <c r="M144" s="212"/>
      <c r="N144" s="212"/>
      <c r="O144" s="213"/>
      <c r="P144" s="14"/>
      <c r="Q144" s="14"/>
      <c r="R144" s="10"/>
      <c r="S144" s="192"/>
      <c r="T144" s="212"/>
      <c r="U144" s="212"/>
      <c r="V144" s="212"/>
      <c r="W144" s="212"/>
      <c r="X144" s="212"/>
      <c r="Y144" s="239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</row>
    <row r="145" spans="1:39" ht="42" customHeight="1" outlineLevel="1" x14ac:dyDescent="0.2">
      <c r="A145" s="25" t="s">
        <v>287</v>
      </c>
      <c r="B145" s="14"/>
      <c r="C145" s="14"/>
      <c r="D145" s="10"/>
      <c r="E145" s="192"/>
      <c r="F145" s="212"/>
      <c r="G145" s="212"/>
      <c r="H145" s="212"/>
      <c r="I145" s="212"/>
      <c r="J145" s="212"/>
      <c r="K145" s="213"/>
      <c r="L145" s="204" t="s">
        <v>288</v>
      </c>
      <c r="M145" s="212"/>
      <c r="N145" s="212"/>
      <c r="O145" s="213"/>
      <c r="P145" s="14"/>
      <c r="Q145" s="14"/>
      <c r="R145" s="10"/>
      <c r="S145" s="192"/>
      <c r="T145" s="212"/>
      <c r="U145" s="212"/>
      <c r="V145" s="212"/>
      <c r="W145" s="212"/>
      <c r="X145" s="212"/>
      <c r="Y145" s="239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</row>
    <row r="146" spans="1:39" ht="42" customHeight="1" outlineLevel="1" x14ac:dyDescent="0.2">
      <c r="A146" s="25" t="s">
        <v>289</v>
      </c>
      <c r="B146" s="14"/>
      <c r="C146" s="14"/>
      <c r="D146" s="10"/>
      <c r="E146" s="192"/>
      <c r="F146" s="212"/>
      <c r="G146" s="212"/>
      <c r="H146" s="212"/>
      <c r="I146" s="212"/>
      <c r="J146" s="212"/>
      <c r="K146" s="213"/>
      <c r="L146" s="204" t="s">
        <v>290</v>
      </c>
      <c r="M146" s="212"/>
      <c r="N146" s="212"/>
      <c r="O146" s="213"/>
      <c r="P146" s="10"/>
      <c r="Q146" s="10"/>
      <c r="R146" s="10"/>
      <c r="S146" s="192"/>
      <c r="T146" s="212"/>
      <c r="U146" s="212"/>
      <c r="V146" s="212"/>
      <c r="W146" s="212"/>
      <c r="X146" s="212"/>
      <c r="Y146" s="239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</row>
    <row r="147" spans="1:39" ht="40.5" customHeight="1" outlineLevel="1" x14ac:dyDescent="0.2">
      <c r="A147" s="25" t="s">
        <v>291</v>
      </c>
      <c r="B147" s="10"/>
      <c r="C147" s="10"/>
      <c r="D147" s="10"/>
      <c r="E147" s="192"/>
      <c r="F147" s="212"/>
      <c r="G147" s="212"/>
      <c r="H147" s="212"/>
      <c r="I147" s="212"/>
      <c r="J147" s="212"/>
      <c r="K147" s="213"/>
      <c r="L147" s="204" t="s">
        <v>292</v>
      </c>
      <c r="M147" s="212"/>
      <c r="N147" s="212"/>
      <c r="O147" s="213"/>
      <c r="P147" s="14"/>
      <c r="Q147" s="14"/>
      <c r="R147" s="10"/>
      <c r="S147" s="192"/>
      <c r="T147" s="212"/>
      <c r="U147" s="212"/>
      <c r="V147" s="212"/>
      <c r="W147" s="212"/>
      <c r="X147" s="212"/>
      <c r="Y147" s="239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</row>
    <row r="148" spans="1:39" ht="42.75" customHeight="1" outlineLevel="1" x14ac:dyDescent="0.2">
      <c r="A148" s="25" t="s">
        <v>293</v>
      </c>
      <c r="B148" s="14"/>
      <c r="C148" s="14"/>
      <c r="D148" s="10"/>
      <c r="E148" s="192"/>
      <c r="F148" s="212"/>
      <c r="G148" s="212"/>
      <c r="H148" s="212"/>
      <c r="I148" s="212"/>
      <c r="J148" s="212"/>
      <c r="K148" s="213"/>
      <c r="L148" s="204" t="s">
        <v>294</v>
      </c>
      <c r="M148" s="212"/>
      <c r="N148" s="212"/>
      <c r="O148" s="213"/>
      <c r="P148" s="14"/>
      <c r="Q148" s="14"/>
      <c r="R148" s="10"/>
      <c r="S148" s="192"/>
      <c r="T148" s="212"/>
      <c r="U148" s="212"/>
      <c r="V148" s="212"/>
      <c r="W148" s="212"/>
      <c r="X148" s="212"/>
      <c r="Y148" s="239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</row>
    <row r="149" spans="1:39" ht="45" customHeight="1" outlineLevel="1" x14ac:dyDescent="0.2">
      <c r="A149" s="25" t="s">
        <v>295</v>
      </c>
      <c r="B149" s="14"/>
      <c r="C149" s="14"/>
      <c r="D149" s="10"/>
      <c r="E149" s="192"/>
      <c r="F149" s="212"/>
      <c r="G149" s="212"/>
      <c r="H149" s="212"/>
      <c r="I149" s="212"/>
      <c r="J149" s="212"/>
      <c r="K149" s="213"/>
      <c r="L149" s="204" t="s">
        <v>296</v>
      </c>
      <c r="M149" s="212"/>
      <c r="N149" s="212"/>
      <c r="O149" s="213"/>
      <c r="P149" s="10"/>
      <c r="Q149" s="10"/>
      <c r="R149" s="10"/>
      <c r="S149" s="192"/>
      <c r="T149" s="212"/>
      <c r="U149" s="212"/>
      <c r="V149" s="212"/>
      <c r="W149" s="212"/>
      <c r="X149" s="212"/>
      <c r="Y149" s="239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</row>
    <row r="150" spans="1:39" ht="42" customHeight="1" outlineLevel="1" x14ac:dyDescent="0.2">
      <c r="A150" s="25" t="s">
        <v>297</v>
      </c>
      <c r="B150" s="10"/>
      <c r="C150" s="10"/>
      <c r="D150" s="10"/>
      <c r="E150" s="192"/>
      <c r="F150" s="212"/>
      <c r="G150" s="212"/>
      <c r="H150" s="212"/>
      <c r="I150" s="212"/>
      <c r="J150" s="212"/>
      <c r="K150" s="213"/>
      <c r="L150" s="204" t="s">
        <v>298</v>
      </c>
      <c r="M150" s="212"/>
      <c r="N150" s="212"/>
      <c r="O150" s="213"/>
      <c r="P150" s="14"/>
      <c r="Q150" s="14"/>
      <c r="R150" s="10"/>
      <c r="S150" s="192"/>
      <c r="T150" s="212"/>
      <c r="U150" s="212"/>
      <c r="V150" s="212"/>
      <c r="W150" s="212"/>
      <c r="X150" s="212"/>
      <c r="Y150" s="239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</row>
    <row r="151" spans="1:39" ht="59.25" customHeight="1" outlineLevel="1" x14ac:dyDescent="0.2">
      <c r="A151" s="25" t="s">
        <v>299</v>
      </c>
      <c r="B151" s="14"/>
      <c r="C151" s="14"/>
      <c r="D151" s="10"/>
      <c r="E151" s="192"/>
      <c r="F151" s="212"/>
      <c r="G151" s="212"/>
      <c r="H151" s="212"/>
      <c r="I151" s="212"/>
      <c r="J151" s="212"/>
      <c r="K151" s="213"/>
      <c r="L151" s="204" t="s">
        <v>300</v>
      </c>
      <c r="M151" s="212"/>
      <c r="N151" s="212"/>
      <c r="O151" s="213"/>
      <c r="P151" s="14"/>
      <c r="Q151" s="14"/>
      <c r="R151" s="10"/>
      <c r="S151" s="192"/>
      <c r="T151" s="212"/>
      <c r="U151" s="212"/>
      <c r="V151" s="212"/>
      <c r="W151" s="212"/>
      <c r="X151" s="212"/>
      <c r="Y151" s="239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</row>
    <row r="152" spans="1:39" ht="42" customHeight="1" outlineLevel="1" x14ac:dyDescent="0.2">
      <c r="A152" s="43" t="s">
        <v>301</v>
      </c>
      <c r="B152" s="31"/>
      <c r="C152" s="31"/>
      <c r="D152" s="42"/>
      <c r="E152" s="259"/>
      <c r="F152" s="260"/>
      <c r="G152" s="260"/>
      <c r="H152" s="260"/>
      <c r="I152" s="260"/>
      <c r="J152" s="260"/>
      <c r="K152" s="261"/>
      <c r="L152" s="474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305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</row>
    <row r="153" spans="1:39" ht="15.75" customHeight="1" outlineLevel="1" x14ac:dyDescent="0.2">
      <c r="A153" s="332" t="s">
        <v>76</v>
      </c>
      <c r="B153" s="223" t="s">
        <v>176</v>
      </c>
      <c r="C153" s="224"/>
      <c r="D153" s="225"/>
      <c r="E153" s="215" t="s">
        <v>24</v>
      </c>
      <c r="F153" s="217" t="s">
        <v>0</v>
      </c>
      <c r="G153" s="218"/>
      <c r="H153" s="218"/>
      <c r="I153" s="218"/>
      <c r="J153" s="218"/>
      <c r="K153" s="219"/>
      <c r="L153" s="329" t="s">
        <v>76</v>
      </c>
      <c r="M153" s="218"/>
      <c r="N153" s="218"/>
      <c r="O153" s="219"/>
      <c r="P153" s="223" t="s">
        <v>176</v>
      </c>
      <c r="Q153" s="224"/>
      <c r="R153" s="225"/>
      <c r="S153" s="215" t="s">
        <v>24</v>
      </c>
      <c r="T153" s="217" t="s">
        <v>0</v>
      </c>
      <c r="U153" s="218"/>
      <c r="V153" s="218"/>
      <c r="W153" s="218"/>
      <c r="X153" s="218"/>
      <c r="Y153" s="226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</row>
    <row r="154" spans="1:39" ht="15.75" customHeight="1" outlineLevel="1" x14ac:dyDescent="0.2">
      <c r="A154" s="334"/>
      <c r="B154" s="12">
        <v>45944</v>
      </c>
      <c r="C154" s="5" t="s">
        <v>3</v>
      </c>
      <c r="D154" s="5" t="s">
        <v>4</v>
      </c>
      <c r="E154" s="216"/>
      <c r="F154" s="220"/>
      <c r="G154" s="221"/>
      <c r="H154" s="221"/>
      <c r="I154" s="221"/>
      <c r="J154" s="221"/>
      <c r="K154" s="222"/>
      <c r="L154" s="220"/>
      <c r="M154" s="221"/>
      <c r="N154" s="221"/>
      <c r="O154" s="222"/>
      <c r="P154" s="12">
        <v>45944</v>
      </c>
      <c r="Q154" s="5" t="s">
        <v>3</v>
      </c>
      <c r="R154" s="5" t="s">
        <v>4</v>
      </c>
      <c r="S154" s="216"/>
      <c r="T154" s="220"/>
      <c r="U154" s="221"/>
      <c r="V154" s="221"/>
      <c r="W154" s="221"/>
      <c r="X154" s="221"/>
      <c r="Y154" s="227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</row>
    <row r="155" spans="1:39" ht="36.75" customHeight="1" outlineLevel="1" x14ac:dyDescent="0.2">
      <c r="A155" s="40" t="s">
        <v>302</v>
      </c>
      <c r="B155" s="11"/>
      <c r="C155" s="11"/>
      <c r="D155" s="11"/>
      <c r="E155" s="11"/>
      <c r="F155" s="228"/>
      <c r="G155" s="207"/>
      <c r="H155" s="207"/>
      <c r="I155" s="207"/>
      <c r="J155" s="207"/>
      <c r="K155" s="208"/>
      <c r="L155" s="206" t="s">
        <v>303</v>
      </c>
      <c r="M155" s="207"/>
      <c r="N155" s="207"/>
      <c r="O155" s="208"/>
      <c r="P155" s="11"/>
      <c r="Q155" s="11"/>
      <c r="R155" s="11"/>
      <c r="S155" s="11"/>
      <c r="T155" s="228"/>
      <c r="U155" s="207"/>
      <c r="V155" s="207"/>
      <c r="W155" s="207"/>
      <c r="X155" s="207"/>
      <c r="Y155" s="229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</row>
    <row r="156" spans="1:39" ht="39.75" customHeight="1" x14ac:dyDescent="0.2">
      <c r="A156" s="43" t="s">
        <v>304</v>
      </c>
      <c r="B156" s="31"/>
      <c r="C156" s="31"/>
      <c r="D156" s="31"/>
      <c r="E156" s="42"/>
      <c r="F156" s="259"/>
      <c r="G156" s="260"/>
      <c r="H156" s="260"/>
      <c r="I156" s="260"/>
      <c r="J156" s="260"/>
      <c r="K156" s="261"/>
      <c r="L156" s="345" t="s">
        <v>305</v>
      </c>
      <c r="M156" s="260"/>
      <c r="N156" s="260"/>
      <c r="O156" s="261"/>
      <c r="P156" s="31"/>
      <c r="Q156" s="31"/>
      <c r="R156" s="31"/>
      <c r="S156" s="42"/>
      <c r="T156" s="259"/>
      <c r="U156" s="260"/>
      <c r="V156" s="260"/>
      <c r="W156" s="260"/>
      <c r="X156" s="260"/>
      <c r="Y156" s="305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</row>
    <row r="157" spans="1:39" ht="37.5" customHeight="1" outlineLevel="1" x14ac:dyDescent="0.2">
      <c r="A157" s="37" t="s">
        <v>306</v>
      </c>
      <c r="B157" s="57"/>
      <c r="C157" s="57"/>
      <c r="D157" s="57"/>
      <c r="E157" s="60"/>
      <c r="F157" s="241"/>
      <c r="G157" s="190"/>
      <c r="H157" s="190"/>
      <c r="I157" s="190"/>
      <c r="J157" s="190"/>
      <c r="K157" s="190"/>
      <c r="L157" s="214" t="s">
        <v>307</v>
      </c>
      <c r="M157" s="190"/>
      <c r="N157" s="190"/>
      <c r="O157" s="190"/>
      <c r="P157" s="57"/>
      <c r="Q157" s="57"/>
      <c r="R157" s="57"/>
      <c r="S157" s="60"/>
      <c r="T157" s="241"/>
      <c r="U157" s="190"/>
      <c r="V157" s="190"/>
      <c r="W157" s="190"/>
      <c r="X157" s="190"/>
      <c r="Y157" s="20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</row>
    <row r="158" spans="1:39" ht="15.75" customHeight="1" outlineLevel="1" x14ac:dyDescent="0.2">
      <c r="A158" s="411" t="s">
        <v>308</v>
      </c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20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</row>
    <row r="159" spans="1:39" ht="15.75" customHeight="1" outlineLevel="1" x14ac:dyDescent="0.2">
      <c r="A159" s="411" t="s">
        <v>76</v>
      </c>
      <c r="B159" s="191" t="s">
        <v>253</v>
      </c>
      <c r="C159" s="190"/>
      <c r="D159" s="191" t="s">
        <v>24</v>
      </c>
      <c r="E159" s="191" t="s">
        <v>0</v>
      </c>
      <c r="F159" s="190"/>
      <c r="G159" s="190"/>
      <c r="H159" s="190"/>
      <c r="I159" s="190"/>
      <c r="J159" s="190"/>
      <c r="K159" s="190"/>
      <c r="L159" s="189" t="s">
        <v>76</v>
      </c>
      <c r="M159" s="190"/>
      <c r="N159" s="190"/>
      <c r="O159" s="190"/>
      <c r="P159" s="191" t="s">
        <v>253</v>
      </c>
      <c r="Q159" s="190"/>
      <c r="R159" s="191" t="s">
        <v>24</v>
      </c>
      <c r="S159" s="191" t="s">
        <v>0</v>
      </c>
      <c r="T159" s="190"/>
      <c r="U159" s="190"/>
      <c r="V159" s="190"/>
      <c r="W159" s="190"/>
      <c r="X159" s="190"/>
      <c r="Y159" s="20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</row>
    <row r="160" spans="1:39" ht="15.75" customHeight="1" outlineLevel="1" x14ac:dyDescent="0.2">
      <c r="A160" s="198"/>
      <c r="B160" s="64" t="s">
        <v>22</v>
      </c>
      <c r="C160" s="64" t="s">
        <v>23</v>
      </c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64" t="s">
        <v>22</v>
      </c>
      <c r="Q160" s="64" t="s">
        <v>23</v>
      </c>
      <c r="R160" s="190"/>
      <c r="S160" s="190"/>
      <c r="T160" s="190"/>
      <c r="U160" s="190"/>
      <c r="V160" s="190"/>
      <c r="W160" s="190"/>
      <c r="X160" s="190"/>
      <c r="Y160" s="20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</row>
    <row r="161" spans="1:39" ht="15.75" customHeight="1" outlineLevel="1" x14ac:dyDescent="0.2">
      <c r="A161" s="316" t="s">
        <v>309</v>
      </c>
      <c r="B161" s="397"/>
      <c r="C161" s="397"/>
      <c r="D161" s="397"/>
      <c r="E161" s="397"/>
      <c r="F161" s="397"/>
      <c r="G161" s="397"/>
      <c r="H161" s="397"/>
      <c r="I161" s="397"/>
      <c r="J161" s="397"/>
      <c r="K161" s="397"/>
      <c r="L161" s="397"/>
      <c r="M161" s="397"/>
      <c r="N161" s="397"/>
      <c r="O161" s="397"/>
      <c r="P161" s="397"/>
      <c r="Q161" s="397"/>
      <c r="R161" s="397"/>
      <c r="S161" s="397"/>
      <c r="T161" s="397"/>
      <c r="U161" s="397"/>
      <c r="V161" s="397"/>
      <c r="W161" s="397"/>
      <c r="X161" s="397"/>
      <c r="Y161" s="20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</row>
    <row r="162" spans="1:39" ht="40.5" customHeight="1" outlineLevel="1" x14ac:dyDescent="0.2">
      <c r="A162" s="37" t="s">
        <v>310</v>
      </c>
      <c r="B162" s="57"/>
      <c r="C162" s="57"/>
      <c r="D162" s="60"/>
      <c r="E162" s="241"/>
      <c r="F162" s="190"/>
      <c r="G162" s="190"/>
      <c r="H162" s="190"/>
      <c r="I162" s="190"/>
      <c r="J162" s="190"/>
      <c r="K162" s="190"/>
      <c r="L162" s="214" t="s">
        <v>311</v>
      </c>
      <c r="M162" s="190"/>
      <c r="N162" s="190"/>
      <c r="O162" s="190"/>
      <c r="P162" s="57"/>
      <c r="Q162" s="57"/>
      <c r="R162" s="60"/>
      <c r="S162" s="241"/>
      <c r="T162" s="190"/>
      <c r="U162" s="190"/>
      <c r="V162" s="190"/>
      <c r="W162" s="190"/>
      <c r="X162" s="190"/>
      <c r="Y162" s="20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</row>
    <row r="163" spans="1:39" ht="17.25" customHeight="1" outlineLevel="1" x14ac:dyDescent="0.2">
      <c r="A163" s="37" t="s">
        <v>312</v>
      </c>
      <c r="B163" s="57"/>
      <c r="C163" s="57"/>
      <c r="D163" s="60"/>
      <c r="E163" s="241"/>
      <c r="F163" s="190"/>
      <c r="G163" s="190"/>
      <c r="H163" s="190"/>
      <c r="I163" s="190"/>
      <c r="J163" s="190"/>
      <c r="K163" s="190"/>
      <c r="L163" s="214" t="s">
        <v>313</v>
      </c>
      <c r="M163" s="190"/>
      <c r="N163" s="190"/>
      <c r="O163" s="190"/>
      <c r="P163" s="57"/>
      <c r="Q163" s="57"/>
      <c r="R163" s="60"/>
      <c r="S163" s="241"/>
      <c r="T163" s="190"/>
      <c r="U163" s="190"/>
      <c r="V163" s="190"/>
      <c r="W163" s="190"/>
      <c r="X163" s="190"/>
      <c r="Y163" s="20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</row>
    <row r="164" spans="1:39" ht="17.25" customHeight="1" outlineLevel="1" x14ac:dyDescent="0.2">
      <c r="A164" s="37" t="s">
        <v>314</v>
      </c>
      <c r="B164" s="57"/>
      <c r="C164" s="57"/>
      <c r="D164" s="60"/>
      <c r="E164" s="241"/>
      <c r="F164" s="190"/>
      <c r="G164" s="190"/>
      <c r="H164" s="190"/>
      <c r="I164" s="190"/>
      <c r="J164" s="190"/>
      <c r="K164" s="190"/>
      <c r="L164" s="214" t="s">
        <v>315</v>
      </c>
      <c r="M164" s="190"/>
      <c r="N164" s="190"/>
      <c r="O164" s="190"/>
      <c r="P164" s="57"/>
      <c r="Q164" s="57"/>
      <c r="R164" s="60"/>
      <c r="S164" s="241"/>
      <c r="T164" s="190"/>
      <c r="U164" s="190"/>
      <c r="V164" s="190"/>
      <c r="W164" s="190"/>
      <c r="X164" s="190"/>
      <c r="Y164" s="20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</row>
    <row r="165" spans="1:39" ht="17.25" customHeight="1" outlineLevel="1" x14ac:dyDescent="0.2">
      <c r="A165" s="37" t="s">
        <v>316</v>
      </c>
      <c r="B165" s="57"/>
      <c r="C165" s="57"/>
      <c r="D165" s="60"/>
      <c r="E165" s="241"/>
      <c r="F165" s="190"/>
      <c r="G165" s="190"/>
      <c r="H165" s="190"/>
      <c r="I165" s="190"/>
      <c r="J165" s="190"/>
      <c r="K165" s="190"/>
      <c r="L165" s="214" t="s">
        <v>317</v>
      </c>
      <c r="M165" s="190"/>
      <c r="N165" s="190"/>
      <c r="O165" s="190"/>
      <c r="P165" s="57"/>
      <c r="Q165" s="57"/>
      <c r="R165" s="60"/>
      <c r="S165" s="241"/>
      <c r="T165" s="190"/>
      <c r="U165" s="190"/>
      <c r="V165" s="190"/>
      <c r="W165" s="190"/>
      <c r="X165" s="190"/>
      <c r="Y165" s="20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</row>
    <row r="166" spans="1:39" ht="17.25" customHeight="1" outlineLevel="1" x14ac:dyDescent="0.2">
      <c r="A166" s="37" t="s">
        <v>318</v>
      </c>
      <c r="B166" s="57"/>
      <c r="C166" s="57"/>
      <c r="D166" s="60"/>
      <c r="E166" s="241"/>
      <c r="F166" s="190"/>
      <c r="G166" s="190"/>
      <c r="H166" s="190"/>
      <c r="I166" s="190"/>
      <c r="J166" s="190"/>
      <c r="K166" s="190"/>
      <c r="L166" s="214" t="s">
        <v>319</v>
      </c>
      <c r="M166" s="190"/>
      <c r="N166" s="190"/>
      <c r="O166" s="190"/>
      <c r="P166" s="57"/>
      <c r="Q166" s="57"/>
      <c r="R166" s="60"/>
      <c r="S166" s="241"/>
      <c r="T166" s="190"/>
      <c r="U166" s="190"/>
      <c r="V166" s="190"/>
      <c r="W166" s="190"/>
      <c r="X166" s="190"/>
      <c r="Y166" s="20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</row>
    <row r="167" spans="1:39" ht="17.25" customHeight="1" outlineLevel="1" x14ac:dyDescent="0.2">
      <c r="A167" s="37" t="s">
        <v>320</v>
      </c>
      <c r="B167" s="57"/>
      <c r="C167" s="57"/>
      <c r="D167" s="60"/>
      <c r="E167" s="241"/>
      <c r="F167" s="190"/>
      <c r="G167" s="190"/>
      <c r="H167" s="190"/>
      <c r="I167" s="190"/>
      <c r="J167" s="190"/>
      <c r="K167" s="190"/>
      <c r="L167" s="214" t="s">
        <v>321</v>
      </c>
      <c r="M167" s="190"/>
      <c r="N167" s="190"/>
      <c r="O167" s="190"/>
      <c r="P167" s="57"/>
      <c r="Q167" s="57"/>
      <c r="R167" s="60"/>
      <c r="S167" s="241"/>
      <c r="T167" s="190"/>
      <c r="U167" s="190"/>
      <c r="V167" s="190"/>
      <c r="W167" s="190"/>
      <c r="X167" s="190"/>
      <c r="Y167" s="20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</row>
    <row r="168" spans="1:39" ht="17.25" customHeight="1" outlineLevel="1" x14ac:dyDescent="0.2">
      <c r="A168" s="37" t="s">
        <v>322</v>
      </c>
      <c r="B168" s="57"/>
      <c r="C168" s="57"/>
      <c r="D168" s="60"/>
      <c r="E168" s="241"/>
      <c r="F168" s="190"/>
      <c r="G168" s="190"/>
      <c r="H168" s="190"/>
      <c r="I168" s="190"/>
      <c r="J168" s="190"/>
      <c r="K168" s="190"/>
      <c r="L168" s="214" t="s">
        <v>323</v>
      </c>
      <c r="M168" s="190"/>
      <c r="N168" s="190"/>
      <c r="O168" s="190"/>
      <c r="P168" s="57"/>
      <c r="Q168" s="57"/>
      <c r="R168" s="60"/>
      <c r="S168" s="241"/>
      <c r="T168" s="190"/>
      <c r="U168" s="190"/>
      <c r="V168" s="190"/>
      <c r="W168" s="190"/>
      <c r="X168" s="190"/>
      <c r="Y168" s="20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</row>
    <row r="169" spans="1:39" ht="17.25" customHeight="1" outlineLevel="1" x14ac:dyDescent="0.2">
      <c r="A169" s="37" t="s">
        <v>324</v>
      </c>
      <c r="B169" s="57"/>
      <c r="C169" s="57"/>
      <c r="D169" s="60"/>
      <c r="E169" s="241"/>
      <c r="F169" s="190"/>
      <c r="G169" s="190"/>
      <c r="H169" s="190"/>
      <c r="I169" s="190"/>
      <c r="J169" s="190"/>
      <c r="K169" s="190"/>
      <c r="L169" s="214" t="s">
        <v>325</v>
      </c>
      <c r="M169" s="190"/>
      <c r="N169" s="190"/>
      <c r="O169" s="190"/>
      <c r="P169" s="57"/>
      <c r="Q169" s="57"/>
      <c r="R169" s="60"/>
      <c r="S169" s="241"/>
      <c r="T169" s="190"/>
      <c r="U169" s="190"/>
      <c r="V169" s="190"/>
      <c r="W169" s="190"/>
      <c r="X169" s="190"/>
      <c r="Y169" s="20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</row>
    <row r="170" spans="1:39" ht="17.25" customHeight="1" outlineLevel="1" x14ac:dyDescent="0.2">
      <c r="A170" s="37" t="s">
        <v>326</v>
      </c>
      <c r="B170" s="57"/>
      <c r="C170" s="57"/>
      <c r="D170" s="60"/>
      <c r="E170" s="241"/>
      <c r="F170" s="190"/>
      <c r="G170" s="190"/>
      <c r="H170" s="190"/>
      <c r="I170" s="190"/>
      <c r="J170" s="190"/>
      <c r="K170" s="190"/>
      <c r="L170" s="214" t="s">
        <v>327</v>
      </c>
      <c r="M170" s="190"/>
      <c r="N170" s="190"/>
      <c r="O170" s="190"/>
      <c r="P170" s="57"/>
      <c r="Q170" s="57"/>
      <c r="R170" s="60"/>
      <c r="S170" s="241"/>
      <c r="T170" s="190"/>
      <c r="U170" s="190"/>
      <c r="V170" s="190"/>
      <c r="W170" s="190"/>
      <c r="X170" s="190"/>
      <c r="Y170" s="20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</row>
    <row r="171" spans="1:39" ht="17.25" customHeight="1" outlineLevel="1" x14ac:dyDescent="0.2">
      <c r="A171" s="37" t="s">
        <v>328</v>
      </c>
      <c r="B171" s="57"/>
      <c r="C171" s="57"/>
      <c r="D171" s="60"/>
      <c r="E171" s="241"/>
      <c r="F171" s="190"/>
      <c r="G171" s="190"/>
      <c r="H171" s="190"/>
      <c r="I171" s="190"/>
      <c r="J171" s="190"/>
      <c r="K171" s="190"/>
      <c r="L171" s="214" t="s">
        <v>329</v>
      </c>
      <c r="M171" s="190"/>
      <c r="N171" s="190"/>
      <c r="O171" s="190"/>
      <c r="P171" s="57"/>
      <c r="Q171" s="57"/>
      <c r="R171" s="60"/>
      <c r="S171" s="241"/>
      <c r="T171" s="190"/>
      <c r="U171" s="190"/>
      <c r="V171" s="190"/>
      <c r="W171" s="190"/>
      <c r="X171" s="190"/>
      <c r="Y171" s="20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</row>
    <row r="172" spans="1:39" ht="17.25" customHeight="1" outlineLevel="1" x14ac:dyDescent="0.2">
      <c r="A172" s="37" t="s">
        <v>330</v>
      </c>
      <c r="B172" s="57"/>
      <c r="C172" s="57"/>
      <c r="D172" s="60"/>
      <c r="E172" s="241"/>
      <c r="F172" s="190"/>
      <c r="G172" s="190"/>
      <c r="H172" s="190"/>
      <c r="I172" s="190"/>
      <c r="J172" s="190"/>
      <c r="K172" s="190"/>
      <c r="L172" s="214" t="s">
        <v>331</v>
      </c>
      <c r="M172" s="190"/>
      <c r="N172" s="190"/>
      <c r="O172" s="190"/>
      <c r="P172" s="57"/>
      <c r="Q172" s="57"/>
      <c r="R172" s="60"/>
      <c r="S172" s="241"/>
      <c r="T172" s="190"/>
      <c r="U172" s="190"/>
      <c r="V172" s="190"/>
      <c r="W172" s="190"/>
      <c r="X172" s="190"/>
      <c r="Y172" s="20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</row>
    <row r="173" spans="1:39" ht="15.75" customHeight="1" outlineLevel="1" x14ac:dyDescent="0.2">
      <c r="A173" s="316" t="s">
        <v>332</v>
      </c>
      <c r="B173" s="397"/>
      <c r="C173" s="397"/>
      <c r="D173" s="397"/>
      <c r="E173" s="397"/>
      <c r="F173" s="397"/>
      <c r="G173" s="397"/>
      <c r="H173" s="397"/>
      <c r="I173" s="397"/>
      <c r="J173" s="397"/>
      <c r="K173" s="397"/>
      <c r="L173" s="396" t="s">
        <v>333</v>
      </c>
      <c r="M173" s="397"/>
      <c r="N173" s="397"/>
      <c r="O173" s="397"/>
      <c r="P173" s="397"/>
      <c r="Q173" s="397"/>
      <c r="R173" s="397"/>
      <c r="S173" s="397"/>
      <c r="T173" s="397"/>
      <c r="U173" s="397"/>
      <c r="V173" s="397"/>
      <c r="W173" s="397"/>
      <c r="X173" s="397"/>
      <c r="Y173" s="20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</row>
    <row r="174" spans="1:39" ht="42" customHeight="1" outlineLevel="1" thickBot="1" x14ac:dyDescent="0.25">
      <c r="A174" s="73" t="s">
        <v>334</v>
      </c>
      <c r="B174" s="74"/>
      <c r="C174" s="74"/>
      <c r="D174" s="75"/>
      <c r="E174" s="292"/>
      <c r="F174" s="293"/>
      <c r="G174" s="293"/>
      <c r="H174" s="293"/>
      <c r="I174" s="293"/>
      <c r="J174" s="293"/>
      <c r="K174" s="293"/>
      <c r="L174" s="471" t="s">
        <v>335</v>
      </c>
      <c r="M174" s="293"/>
      <c r="N174" s="293"/>
      <c r="O174" s="293"/>
      <c r="P174" s="76"/>
      <c r="Q174" s="76"/>
      <c r="R174" s="75"/>
      <c r="S174" s="292"/>
      <c r="T174" s="293"/>
      <c r="U174" s="293"/>
      <c r="V174" s="293"/>
      <c r="W174" s="293"/>
      <c r="X174" s="293"/>
      <c r="Y174" s="294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</row>
    <row r="175" spans="1:39" ht="15.75" customHeight="1" outlineLevel="1" x14ac:dyDescent="0.2">
      <c r="A175" s="197" t="s">
        <v>76</v>
      </c>
      <c r="B175" s="199" t="s">
        <v>253</v>
      </c>
      <c r="C175" s="200"/>
      <c r="D175" s="199" t="s">
        <v>24</v>
      </c>
      <c r="E175" s="199" t="s">
        <v>0</v>
      </c>
      <c r="F175" s="200"/>
      <c r="G175" s="200"/>
      <c r="H175" s="200"/>
      <c r="I175" s="200"/>
      <c r="J175" s="200"/>
      <c r="K175" s="200"/>
      <c r="L175" s="201" t="s">
        <v>76</v>
      </c>
      <c r="M175" s="200"/>
      <c r="N175" s="200"/>
      <c r="O175" s="200"/>
      <c r="P175" s="199" t="s">
        <v>253</v>
      </c>
      <c r="Q175" s="200"/>
      <c r="R175" s="199" t="s">
        <v>24</v>
      </c>
      <c r="S175" s="199" t="s">
        <v>0</v>
      </c>
      <c r="T175" s="200"/>
      <c r="U175" s="200"/>
      <c r="V175" s="200"/>
      <c r="W175" s="200"/>
      <c r="X175" s="200"/>
      <c r="Y175" s="202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</row>
    <row r="176" spans="1:39" ht="15.75" customHeight="1" outlineLevel="1" x14ac:dyDescent="0.2">
      <c r="A176" s="198"/>
      <c r="B176" s="64" t="s">
        <v>22</v>
      </c>
      <c r="C176" s="64" t="s">
        <v>23</v>
      </c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64" t="s">
        <v>22</v>
      </c>
      <c r="Q176" s="64" t="s">
        <v>23</v>
      </c>
      <c r="R176" s="190"/>
      <c r="S176" s="190"/>
      <c r="T176" s="190"/>
      <c r="U176" s="190"/>
      <c r="V176" s="190"/>
      <c r="W176" s="190"/>
      <c r="X176" s="190"/>
      <c r="Y176" s="20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</row>
    <row r="177" spans="1:39" ht="40.5" customHeight="1" outlineLevel="1" x14ac:dyDescent="0.2">
      <c r="A177" s="40" t="s">
        <v>336</v>
      </c>
      <c r="B177" s="72"/>
      <c r="C177" s="72"/>
      <c r="D177" s="11"/>
      <c r="E177" s="228"/>
      <c r="F177" s="207"/>
      <c r="G177" s="207"/>
      <c r="H177" s="207"/>
      <c r="I177" s="207"/>
      <c r="J177" s="207"/>
      <c r="K177" s="208"/>
      <c r="L177" s="206" t="s">
        <v>337</v>
      </c>
      <c r="M177" s="207"/>
      <c r="N177" s="207"/>
      <c r="O177" s="208"/>
      <c r="P177" s="1"/>
      <c r="Q177" s="1"/>
      <c r="R177" s="11"/>
      <c r="S177" s="228"/>
      <c r="T177" s="207"/>
      <c r="U177" s="207"/>
      <c r="V177" s="207"/>
      <c r="W177" s="207"/>
      <c r="X177" s="207"/>
      <c r="Y177" s="229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</row>
    <row r="178" spans="1:39" ht="39.75" customHeight="1" outlineLevel="1" x14ac:dyDescent="0.2">
      <c r="A178" s="25" t="s">
        <v>338</v>
      </c>
      <c r="B178" s="10"/>
      <c r="C178" s="10"/>
      <c r="D178" s="10"/>
      <c r="E178" s="192"/>
      <c r="F178" s="212"/>
      <c r="G178" s="212"/>
      <c r="H178" s="212"/>
      <c r="I178" s="212"/>
      <c r="J178" s="212"/>
      <c r="K178" s="213"/>
      <c r="L178" s="204" t="s">
        <v>339</v>
      </c>
      <c r="M178" s="212"/>
      <c r="N178" s="212"/>
      <c r="O178" s="213"/>
      <c r="P178" s="10"/>
      <c r="Q178" s="10"/>
      <c r="R178" s="10"/>
      <c r="S178" s="192"/>
      <c r="T178" s="212"/>
      <c r="U178" s="212"/>
      <c r="V178" s="212"/>
      <c r="W178" s="212"/>
      <c r="X178" s="212"/>
      <c r="Y178" s="239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</row>
    <row r="179" spans="1:39" ht="30.75" customHeight="1" outlineLevel="1" x14ac:dyDescent="0.2">
      <c r="A179" s="25" t="s">
        <v>340</v>
      </c>
      <c r="B179" s="10"/>
      <c r="C179" s="10"/>
      <c r="D179" s="10"/>
      <c r="E179" s="192"/>
      <c r="F179" s="212"/>
      <c r="G179" s="212"/>
      <c r="H179" s="212"/>
      <c r="I179" s="212"/>
      <c r="J179" s="212"/>
      <c r="K179" s="213"/>
      <c r="L179" s="204" t="s">
        <v>341</v>
      </c>
      <c r="M179" s="212"/>
      <c r="N179" s="212"/>
      <c r="O179" s="213"/>
      <c r="P179" s="10"/>
      <c r="Q179" s="10"/>
      <c r="R179" s="10"/>
      <c r="S179" s="192"/>
      <c r="T179" s="212"/>
      <c r="U179" s="212"/>
      <c r="V179" s="212"/>
      <c r="W179" s="212"/>
      <c r="X179" s="212"/>
      <c r="Y179" s="239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</row>
    <row r="180" spans="1:39" ht="15" customHeight="1" outlineLevel="1" x14ac:dyDescent="0.2">
      <c r="A180" s="25" t="s">
        <v>342</v>
      </c>
      <c r="B180" s="7"/>
      <c r="C180" s="14"/>
      <c r="D180" s="10"/>
      <c r="E180" s="192"/>
      <c r="F180" s="212"/>
      <c r="G180" s="212"/>
      <c r="H180" s="212"/>
      <c r="I180" s="212"/>
      <c r="J180" s="212"/>
      <c r="K180" s="213"/>
      <c r="L180" s="204" t="s">
        <v>342</v>
      </c>
      <c r="M180" s="212"/>
      <c r="N180" s="212"/>
      <c r="O180" s="213"/>
      <c r="P180" s="14"/>
      <c r="Q180" s="14"/>
      <c r="R180" s="10"/>
      <c r="S180" s="192"/>
      <c r="T180" s="212"/>
      <c r="U180" s="212"/>
      <c r="V180" s="212"/>
      <c r="W180" s="212"/>
      <c r="X180" s="212"/>
      <c r="Y180" s="239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</row>
    <row r="181" spans="1:39" ht="15" customHeight="1" outlineLevel="1" x14ac:dyDescent="0.2">
      <c r="A181" s="25" t="s">
        <v>343</v>
      </c>
      <c r="B181" s="7"/>
      <c r="C181" s="14"/>
      <c r="D181" s="10"/>
      <c r="E181" s="192"/>
      <c r="F181" s="212"/>
      <c r="G181" s="212"/>
      <c r="H181" s="212"/>
      <c r="I181" s="212"/>
      <c r="J181" s="212"/>
      <c r="K181" s="213"/>
      <c r="L181" s="204" t="s">
        <v>343</v>
      </c>
      <c r="M181" s="212"/>
      <c r="N181" s="212"/>
      <c r="O181" s="213"/>
      <c r="P181" s="14"/>
      <c r="Q181" s="14"/>
      <c r="R181" s="10"/>
      <c r="S181" s="192"/>
      <c r="T181" s="212"/>
      <c r="U181" s="212"/>
      <c r="V181" s="212"/>
      <c r="W181" s="212"/>
      <c r="X181" s="212"/>
      <c r="Y181" s="239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</row>
    <row r="182" spans="1:39" ht="15" customHeight="1" outlineLevel="1" x14ac:dyDescent="0.2">
      <c r="A182" s="25" t="s">
        <v>344</v>
      </c>
      <c r="B182" s="7"/>
      <c r="C182" s="14"/>
      <c r="D182" s="10"/>
      <c r="E182" s="192"/>
      <c r="F182" s="212"/>
      <c r="G182" s="212"/>
      <c r="H182" s="212"/>
      <c r="I182" s="212"/>
      <c r="J182" s="212"/>
      <c r="K182" s="213"/>
      <c r="L182" s="204" t="s">
        <v>344</v>
      </c>
      <c r="M182" s="212"/>
      <c r="N182" s="212"/>
      <c r="O182" s="213"/>
      <c r="P182" s="14"/>
      <c r="Q182" s="14"/>
      <c r="R182" s="10"/>
      <c r="S182" s="192"/>
      <c r="T182" s="212"/>
      <c r="U182" s="212"/>
      <c r="V182" s="212"/>
      <c r="W182" s="212"/>
      <c r="X182" s="212"/>
      <c r="Y182" s="239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</row>
    <row r="183" spans="1:39" ht="39.75" customHeight="1" outlineLevel="1" x14ac:dyDescent="0.2">
      <c r="A183" s="25" t="s">
        <v>345</v>
      </c>
      <c r="B183" s="7"/>
      <c r="C183" s="14"/>
      <c r="D183" s="10"/>
      <c r="E183" s="192"/>
      <c r="F183" s="212"/>
      <c r="G183" s="212"/>
      <c r="H183" s="212"/>
      <c r="I183" s="212"/>
      <c r="J183" s="212"/>
      <c r="K183" s="213"/>
      <c r="L183" s="204" t="s">
        <v>346</v>
      </c>
      <c r="M183" s="212"/>
      <c r="N183" s="212"/>
      <c r="O183" s="213"/>
      <c r="P183" s="14"/>
      <c r="Q183" s="14"/>
      <c r="R183" s="10"/>
      <c r="S183" s="192"/>
      <c r="T183" s="212"/>
      <c r="U183" s="212"/>
      <c r="V183" s="212"/>
      <c r="W183" s="212"/>
      <c r="X183" s="212"/>
      <c r="Y183" s="239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</row>
    <row r="184" spans="1:39" ht="42" customHeight="1" outlineLevel="1" x14ac:dyDescent="0.2">
      <c r="A184" s="25" t="s">
        <v>347</v>
      </c>
      <c r="B184" s="7"/>
      <c r="C184" s="14"/>
      <c r="D184" s="10"/>
      <c r="E184" s="192"/>
      <c r="F184" s="212"/>
      <c r="G184" s="212"/>
      <c r="H184" s="212"/>
      <c r="I184" s="212"/>
      <c r="J184" s="212"/>
      <c r="K184" s="213"/>
      <c r="L184" s="204" t="s">
        <v>348</v>
      </c>
      <c r="M184" s="212"/>
      <c r="N184" s="212"/>
      <c r="O184" s="213"/>
      <c r="P184" s="14"/>
      <c r="Q184" s="14"/>
      <c r="R184" s="10"/>
      <c r="S184" s="192"/>
      <c r="T184" s="212"/>
      <c r="U184" s="212"/>
      <c r="V184" s="212"/>
      <c r="W184" s="212"/>
      <c r="X184" s="212"/>
      <c r="Y184" s="239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</row>
    <row r="185" spans="1:39" ht="41.25" customHeight="1" outlineLevel="1" x14ac:dyDescent="0.2">
      <c r="A185" s="25" t="s">
        <v>349</v>
      </c>
      <c r="B185" s="10"/>
      <c r="C185" s="10"/>
      <c r="D185" s="10"/>
      <c r="E185" s="192"/>
      <c r="F185" s="212"/>
      <c r="G185" s="212"/>
      <c r="H185" s="212"/>
      <c r="I185" s="212"/>
      <c r="J185" s="212"/>
      <c r="K185" s="213"/>
      <c r="L185" s="204" t="s">
        <v>350</v>
      </c>
      <c r="M185" s="212"/>
      <c r="N185" s="212"/>
      <c r="O185" s="213"/>
      <c r="P185" s="10"/>
      <c r="Q185" s="10"/>
      <c r="R185" s="10"/>
      <c r="S185" s="192"/>
      <c r="T185" s="212"/>
      <c r="U185" s="212"/>
      <c r="V185" s="212"/>
      <c r="W185" s="212"/>
      <c r="X185" s="212"/>
      <c r="Y185" s="239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</row>
    <row r="186" spans="1:39" ht="29.25" customHeight="1" outlineLevel="1" x14ac:dyDescent="0.2">
      <c r="A186" s="25" t="s">
        <v>351</v>
      </c>
      <c r="B186" s="10"/>
      <c r="C186" s="10"/>
      <c r="D186" s="10"/>
      <c r="E186" s="192"/>
      <c r="F186" s="212"/>
      <c r="G186" s="212"/>
      <c r="H186" s="212"/>
      <c r="I186" s="212"/>
      <c r="J186" s="212"/>
      <c r="K186" s="213"/>
      <c r="L186" s="204" t="s">
        <v>352</v>
      </c>
      <c r="M186" s="212"/>
      <c r="N186" s="212"/>
      <c r="O186" s="213"/>
      <c r="P186" s="10"/>
      <c r="Q186" s="10"/>
      <c r="R186" s="10"/>
      <c r="S186" s="192"/>
      <c r="T186" s="212"/>
      <c r="U186" s="212"/>
      <c r="V186" s="212"/>
      <c r="W186" s="212"/>
      <c r="X186" s="212"/>
      <c r="Y186" s="239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</row>
    <row r="187" spans="1:39" ht="16.5" customHeight="1" outlineLevel="1" x14ac:dyDescent="0.2">
      <c r="A187" s="25" t="s">
        <v>353</v>
      </c>
      <c r="B187" s="14"/>
      <c r="C187" s="14"/>
      <c r="D187" s="10"/>
      <c r="E187" s="192"/>
      <c r="F187" s="212"/>
      <c r="G187" s="212"/>
      <c r="H187" s="212"/>
      <c r="I187" s="212"/>
      <c r="J187" s="212"/>
      <c r="K187" s="213"/>
      <c r="L187" s="204" t="s">
        <v>353</v>
      </c>
      <c r="M187" s="212"/>
      <c r="N187" s="212"/>
      <c r="O187" s="213"/>
      <c r="P187" s="14"/>
      <c r="Q187" s="14"/>
      <c r="R187" s="10"/>
      <c r="S187" s="192"/>
      <c r="T187" s="212"/>
      <c r="U187" s="212"/>
      <c r="V187" s="212"/>
      <c r="W187" s="212"/>
      <c r="X187" s="212"/>
      <c r="Y187" s="239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</row>
    <row r="188" spans="1:39" ht="16.5" customHeight="1" outlineLevel="1" x14ac:dyDescent="0.2">
      <c r="A188" s="25" t="s">
        <v>354</v>
      </c>
      <c r="B188" s="14"/>
      <c r="C188" s="14"/>
      <c r="D188" s="10"/>
      <c r="E188" s="192"/>
      <c r="F188" s="212"/>
      <c r="G188" s="212"/>
      <c r="H188" s="212"/>
      <c r="I188" s="212"/>
      <c r="J188" s="212"/>
      <c r="K188" s="213"/>
      <c r="L188" s="204" t="s">
        <v>354</v>
      </c>
      <c r="M188" s="212"/>
      <c r="N188" s="212"/>
      <c r="O188" s="213"/>
      <c r="P188" s="14"/>
      <c r="Q188" s="14"/>
      <c r="R188" s="10"/>
      <c r="S188" s="192"/>
      <c r="T188" s="212"/>
      <c r="U188" s="212"/>
      <c r="V188" s="212"/>
      <c r="W188" s="212"/>
      <c r="X188" s="212"/>
      <c r="Y188" s="239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</row>
    <row r="189" spans="1:39" ht="16.5" customHeight="1" outlineLevel="1" x14ac:dyDescent="0.2">
      <c r="A189" s="25" t="s">
        <v>355</v>
      </c>
      <c r="B189" s="14"/>
      <c r="C189" s="14"/>
      <c r="D189" s="10"/>
      <c r="E189" s="473"/>
      <c r="F189" s="319"/>
      <c r="G189" s="319"/>
      <c r="H189" s="319"/>
      <c r="I189" s="319"/>
      <c r="J189" s="319"/>
      <c r="K189" s="319"/>
      <c r="L189" s="204" t="s">
        <v>355</v>
      </c>
      <c r="M189" s="212"/>
      <c r="N189" s="212"/>
      <c r="O189" s="213"/>
      <c r="P189" s="14"/>
      <c r="Q189" s="14"/>
      <c r="R189" s="10"/>
      <c r="S189" s="192"/>
      <c r="T189" s="212"/>
      <c r="U189" s="212"/>
      <c r="V189" s="212"/>
      <c r="W189" s="212"/>
      <c r="X189" s="212"/>
      <c r="Y189" s="239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</row>
    <row r="190" spans="1:39" ht="15.75" customHeight="1" outlineLevel="1" x14ac:dyDescent="0.2">
      <c r="A190" s="364" t="s">
        <v>356</v>
      </c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39"/>
    </row>
    <row r="191" spans="1:39" ht="27.75" customHeight="1" outlineLevel="1" x14ac:dyDescent="0.2">
      <c r="A191" s="25" t="s">
        <v>357</v>
      </c>
      <c r="B191" s="10"/>
      <c r="C191" s="10"/>
      <c r="D191" s="10"/>
      <c r="E191" s="192"/>
      <c r="F191" s="212"/>
      <c r="G191" s="212"/>
      <c r="H191" s="212"/>
      <c r="I191" s="212"/>
      <c r="J191" s="212"/>
      <c r="K191" s="213"/>
      <c r="L191" s="441" t="s">
        <v>358</v>
      </c>
      <c r="M191" s="212"/>
      <c r="N191" s="212"/>
      <c r="O191" s="213"/>
      <c r="P191" s="14"/>
      <c r="Q191" s="14"/>
      <c r="R191" s="10"/>
      <c r="S191" s="192"/>
      <c r="T191" s="212"/>
      <c r="U191" s="212"/>
      <c r="V191" s="212"/>
      <c r="W191" s="212"/>
      <c r="X191" s="212"/>
      <c r="Y191" s="239"/>
    </row>
    <row r="192" spans="1:39" ht="20.25" customHeight="1" outlineLevel="1" x14ac:dyDescent="0.2">
      <c r="A192" s="25" t="s">
        <v>359</v>
      </c>
      <c r="B192" s="14"/>
      <c r="C192" s="14"/>
      <c r="D192" s="10"/>
      <c r="E192" s="192"/>
      <c r="F192" s="212"/>
      <c r="G192" s="212"/>
      <c r="H192" s="212"/>
      <c r="I192" s="212"/>
      <c r="J192" s="212"/>
      <c r="K192" s="213"/>
      <c r="L192" s="403" t="s">
        <v>360</v>
      </c>
      <c r="M192" s="212"/>
      <c r="N192" s="212"/>
      <c r="O192" s="213"/>
      <c r="P192" s="14"/>
      <c r="Q192" s="14"/>
      <c r="R192" s="10"/>
      <c r="S192" s="192"/>
      <c r="T192" s="212"/>
      <c r="U192" s="212"/>
      <c r="V192" s="212"/>
      <c r="W192" s="212"/>
      <c r="X192" s="212"/>
      <c r="Y192" s="239"/>
    </row>
    <row r="193" spans="1:39" ht="20.25" customHeight="1" outlineLevel="1" x14ac:dyDescent="0.2">
      <c r="A193" s="25" t="s">
        <v>361</v>
      </c>
      <c r="B193" s="14"/>
      <c r="C193" s="14"/>
      <c r="D193" s="10"/>
      <c r="E193" s="192"/>
      <c r="F193" s="212"/>
      <c r="G193" s="212"/>
      <c r="H193" s="212"/>
      <c r="I193" s="212"/>
      <c r="J193" s="212"/>
      <c r="K193" s="213"/>
      <c r="L193" s="403" t="s">
        <v>362</v>
      </c>
      <c r="M193" s="212"/>
      <c r="N193" s="212"/>
      <c r="O193" s="213"/>
      <c r="P193" s="14"/>
      <c r="Q193" s="14"/>
      <c r="R193" s="10"/>
      <c r="S193" s="192"/>
      <c r="T193" s="212"/>
      <c r="U193" s="212"/>
      <c r="V193" s="212"/>
      <c r="W193" s="212"/>
      <c r="X193" s="212"/>
      <c r="Y193" s="239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</row>
    <row r="194" spans="1:39" ht="20.25" customHeight="1" outlineLevel="1" x14ac:dyDescent="0.2">
      <c r="A194" s="25" t="s">
        <v>363</v>
      </c>
      <c r="B194" s="14"/>
      <c r="C194" s="14"/>
      <c r="D194" s="10"/>
      <c r="E194" s="192"/>
      <c r="F194" s="212"/>
      <c r="G194" s="212"/>
      <c r="H194" s="212"/>
      <c r="I194" s="212"/>
      <c r="J194" s="212"/>
      <c r="K194" s="213"/>
      <c r="L194" s="403" t="s">
        <v>364</v>
      </c>
      <c r="M194" s="212"/>
      <c r="N194" s="212"/>
      <c r="O194" s="213"/>
      <c r="P194" s="14"/>
      <c r="Q194" s="14"/>
      <c r="R194" s="10"/>
      <c r="S194" s="192"/>
      <c r="T194" s="212"/>
      <c r="U194" s="212"/>
      <c r="V194" s="212"/>
      <c r="W194" s="212"/>
      <c r="X194" s="212"/>
      <c r="Y194" s="239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</row>
    <row r="195" spans="1:39" ht="20.25" customHeight="1" outlineLevel="1" x14ac:dyDescent="0.2">
      <c r="A195" s="25" t="s">
        <v>365</v>
      </c>
      <c r="B195" s="14"/>
      <c r="C195" s="14"/>
      <c r="D195" s="10"/>
      <c r="E195" s="192"/>
      <c r="F195" s="212"/>
      <c r="G195" s="212"/>
      <c r="H195" s="212"/>
      <c r="I195" s="212"/>
      <c r="J195" s="212"/>
      <c r="K195" s="213"/>
      <c r="L195" s="403" t="s">
        <v>366</v>
      </c>
      <c r="M195" s="212"/>
      <c r="N195" s="212"/>
      <c r="O195" s="213"/>
      <c r="P195" s="14"/>
      <c r="Q195" s="14"/>
      <c r="R195" s="10"/>
      <c r="S195" s="192"/>
      <c r="T195" s="212"/>
      <c r="U195" s="212"/>
      <c r="V195" s="212"/>
      <c r="W195" s="212"/>
      <c r="X195" s="212"/>
      <c r="Y195" s="239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</row>
    <row r="196" spans="1:39" ht="20.25" customHeight="1" outlineLevel="1" x14ac:dyDescent="0.2">
      <c r="A196" s="25" t="s">
        <v>367</v>
      </c>
      <c r="B196" s="10"/>
      <c r="C196" s="10"/>
      <c r="D196" s="10"/>
      <c r="E196" s="192"/>
      <c r="F196" s="212"/>
      <c r="G196" s="212"/>
      <c r="H196" s="212"/>
      <c r="I196" s="212"/>
      <c r="J196" s="212"/>
      <c r="K196" s="213"/>
      <c r="L196" s="403" t="s">
        <v>368</v>
      </c>
      <c r="M196" s="212"/>
      <c r="N196" s="212"/>
      <c r="O196" s="213"/>
      <c r="P196" s="14"/>
      <c r="Q196" s="14"/>
      <c r="R196" s="10"/>
      <c r="S196" s="192"/>
      <c r="T196" s="212"/>
      <c r="U196" s="212"/>
      <c r="V196" s="212"/>
      <c r="W196" s="212"/>
      <c r="X196" s="212"/>
      <c r="Y196" s="239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</row>
    <row r="197" spans="1:39" ht="26.25" customHeight="1" outlineLevel="1" x14ac:dyDescent="0.2">
      <c r="A197" s="77" t="s">
        <v>507</v>
      </c>
      <c r="B197" s="10"/>
      <c r="C197" s="10"/>
      <c r="D197" s="42"/>
      <c r="E197" s="404"/>
      <c r="F197" s="212"/>
      <c r="G197" s="212"/>
      <c r="H197" s="212"/>
      <c r="I197" s="212"/>
      <c r="J197" s="212"/>
      <c r="K197" s="213"/>
      <c r="L197" s="403" t="s">
        <v>508</v>
      </c>
      <c r="M197" s="212"/>
      <c r="N197" s="212"/>
      <c r="O197" s="213"/>
      <c r="P197" s="14"/>
      <c r="Q197" s="14"/>
      <c r="R197" s="10"/>
      <c r="S197" s="192"/>
      <c r="T197" s="212"/>
      <c r="U197" s="212"/>
      <c r="V197" s="212"/>
      <c r="W197" s="212"/>
      <c r="X197" s="212"/>
      <c r="Y197" s="239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</row>
    <row r="198" spans="1:39" ht="15.75" customHeight="1" outlineLevel="1" x14ac:dyDescent="0.2">
      <c r="A198" s="78" t="s">
        <v>503</v>
      </c>
      <c r="B198" s="14"/>
      <c r="C198" s="14"/>
      <c r="D198" s="42"/>
      <c r="E198" s="192"/>
      <c r="F198" s="212"/>
      <c r="G198" s="212"/>
      <c r="H198" s="212"/>
      <c r="I198" s="212"/>
      <c r="J198" s="212"/>
      <c r="K198" s="213"/>
      <c r="L198" s="403" t="s">
        <v>509</v>
      </c>
      <c r="M198" s="212"/>
      <c r="N198" s="212"/>
      <c r="O198" s="213"/>
      <c r="P198" s="14"/>
      <c r="Q198" s="14"/>
      <c r="R198" s="10"/>
      <c r="S198" s="192"/>
      <c r="T198" s="212"/>
      <c r="U198" s="212"/>
      <c r="V198" s="212"/>
      <c r="W198" s="212"/>
      <c r="X198" s="212"/>
      <c r="Y198" s="239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</row>
    <row r="199" spans="1:39" ht="15.75" customHeight="1" outlineLevel="1" x14ac:dyDescent="0.2">
      <c r="A199" s="78" t="s">
        <v>504</v>
      </c>
      <c r="B199" s="14"/>
      <c r="C199" s="14"/>
      <c r="D199" s="42"/>
      <c r="E199" s="192"/>
      <c r="F199" s="212"/>
      <c r="G199" s="212"/>
      <c r="H199" s="212"/>
      <c r="I199" s="212"/>
      <c r="J199" s="212"/>
      <c r="K199" s="213"/>
      <c r="L199" s="403" t="s">
        <v>510</v>
      </c>
      <c r="M199" s="212"/>
      <c r="N199" s="212"/>
      <c r="O199" s="213"/>
      <c r="P199" s="14"/>
      <c r="Q199" s="14"/>
      <c r="R199" s="10"/>
      <c r="S199" s="192"/>
      <c r="T199" s="212"/>
      <c r="U199" s="212"/>
      <c r="V199" s="212"/>
      <c r="W199" s="212"/>
      <c r="X199" s="212"/>
      <c r="Y199" s="239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</row>
    <row r="200" spans="1:39" ht="15.75" customHeight="1" outlineLevel="1" x14ac:dyDescent="0.2">
      <c r="A200" s="78" t="s">
        <v>505</v>
      </c>
      <c r="B200" s="14"/>
      <c r="C200" s="14"/>
      <c r="D200" s="42"/>
      <c r="E200" s="192"/>
      <c r="F200" s="212"/>
      <c r="G200" s="212"/>
      <c r="H200" s="212"/>
      <c r="I200" s="212"/>
      <c r="J200" s="212"/>
      <c r="K200" s="213"/>
      <c r="L200" s="403" t="s">
        <v>511</v>
      </c>
      <c r="M200" s="212"/>
      <c r="N200" s="212"/>
      <c r="O200" s="213"/>
      <c r="P200" s="14"/>
      <c r="Q200" s="14"/>
      <c r="R200" s="10"/>
      <c r="S200" s="192"/>
      <c r="T200" s="212"/>
      <c r="U200" s="212"/>
      <c r="V200" s="212"/>
      <c r="W200" s="212"/>
      <c r="X200" s="212"/>
      <c r="Y200" s="239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</row>
    <row r="201" spans="1:39" ht="15" customHeight="1" outlineLevel="1" x14ac:dyDescent="0.2">
      <c r="A201" s="78" t="s">
        <v>506</v>
      </c>
      <c r="B201" s="31"/>
      <c r="C201" s="31"/>
      <c r="D201" s="42"/>
      <c r="E201" s="192"/>
      <c r="F201" s="212"/>
      <c r="G201" s="212"/>
      <c r="H201" s="212"/>
      <c r="I201" s="212"/>
      <c r="J201" s="212"/>
      <c r="K201" s="213"/>
      <c r="L201" s="480" t="s">
        <v>369</v>
      </c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39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</row>
    <row r="202" spans="1:39" ht="39" customHeight="1" outlineLevel="1" x14ac:dyDescent="0.2">
      <c r="A202" s="77" t="s">
        <v>512</v>
      </c>
      <c r="B202" s="10"/>
      <c r="C202" s="10"/>
      <c r="D202" s="42"/>
      <c r="E202" s="404"/>
      <c r="F202" s="212"/>
      <c r="G202" s="212"/>
      <c r="H202" s="212"/>
      <c r="I202" s="212"/>
      <c r="J202" s="212"/>
      <c r="K202" s="213"/>
      <c r="L202" s="195" t="s">
        <v>370</v>
      </c>
      <c r="M202" s="212"/>
      <c r="N202" s="212"/>
      <c r="O202" s="213"/>
      <c r="P202" s="14"/>
      <c r="Q202" s="14"/>
      <c r="R202" s="10"/>
      <c r="S202" s="192"/>
      <c r="T202" s="212"/>
      <c r="U202" s="212"/>
      <c r="V202" s="212"/>
      <c r="W202" s="212"/>
      <c r="X202" s="212"/>
      <c r="Y202" s="239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</row>
    <row r="203" spans="1:39" ht="40.5" customHeight="1" outlineLevel="1" x14ac:dyDescent="0.2">
      <c r="A203" s="78" t="s">
        <v>513</v>
      </c>
      <c r="B203" s="14"/>
      <c r="C203" s="14"/>
      <c r="D203" s="42"/>
      <c r="E203" s="192"/>
      <c r="F203" s="212"/>
      <c r="G203" s="212"/>
      <c r="H203" s="212"/>
      <c r="I203" s="212"/>
      <c r="J203" s="212"/>
      <c r="K203" s="213"/>
      <c r="L203" s="195" t="s">
        <v>514</v>
      </c>
      <c r="M203" s="212"/>
      <c r="N203" s="212"/>
      <c r="O203" s="213"/>
      <c r="P203" s="14"/>
      <c r="Q203" s="14"/>
      <c r="R203" s="10"/>
      <c r="S203" s="192"/>
      <c r="T203" s="212"/>
      <c r="U203" s="212"/>
      <c r="V203" s="212"/>
      <c r="W203" s="212"/>
      <c r="X203" s="212"/>
      <c r="Y203" s="239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</row>
    <row r="204" spans="1:39" ht="16.5" customHeight="1" outlineLevel="1" x14ac:dyDescent="0.2">
      <c r="A204" s="78" t="s">
        <v>515</v>
      </c>
      <c r="B204" s="14"/>
      <c r="C204" s="14"/>
      <c r="D204" s="42"/>
      <c r="E204" s="192"/>
      <c r="F204" s="212"/>
      <c r="G204" s="212"/>
      <c r="H204" s="212"/>
      <c r="I204" s="212"/>
      <c r="J204" s="212"/>
      <c r="K204" s="213"/>
      <c r="L204" s="195" t="s">
        <v>516</v>
      </c>
      <c r="M204" s="212"/>
      <c r="N204" s="212"/>
      <c r="O204" s="213"/>
      <c r="P204" s="14"/>
      <c r="Q204" s="14"/>
      <c r="R204" s="10"/>
      <c r="S204" s="192"/>
      <c r="T204" s="212"/>
      <c r="U204" s="212"/>
      <c r="V204" s="212"/>
      <c r="W204" s="212"/>
      <c r="X204" s="212"/>
      <c r="Y204" s="239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</row>
    <row r="205" spans="1:39" ht="38.25" customHeight="1" outlineLevel="1" x14ac:dyDescent="0.2">
      <c r="A205" s="78" t="s">
        <v>517</v>
      </c>
      <c r="B205" s="14"/>
      <c r="C205" s="14"/>
      <c r="D205" s="42"/>
      <c r="E205" s="192"/>
      <c r="F205" s="212"/>
      <c r="G205" s="212"/>
      <c r="H205" s="212"/>
      <c r="I205" s="212"/>
      <c r="J205" s="212"/>
      <c r="K205" s="213"/>
      <c r="L205" s="315" t="s">
        <v>371</v>
      </c>
      <c r="M205" s="260"/>
      <c r="N205" s="260"/>
      <c r="O205" s="261"/>
      <c r="P205" s="31"/>
      <c r="Q205" s="31"/>
      <c r="R205" s="42"/>
      <c r="S205" s="259"/>
      <c r="T205" s="260"/>
      <c r="U205" s="260"/>
      <c r="V205" s="260"/>
      <c r="W205" s="260"/>
      <c r="X205" s="260"/>
      <c r="Y205" s="305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</row>
    <row r="206" spans="1:39" ht="16.5" customHeight="1" outlineLevel="1" x14ac:dyDescent="0.2">
      <c r="A206" s="78" t="s">
        <v>518</v>
      </c>
      <c r="B206" s="14"/>
      <c r="C206" s="14"/>
      <c r="D206" s="42"/>
      <c r="E206" s="192"/>
      <c r="F206" s="212"/>
      <c r="G206" s="212"/>
      <c r="H206" s="212"/>
      <c r="I206" s="212"/>
      <c r="J206" s="212"/>
      <c r="K206" s="212"/>
      <c r="L206" s="429" t="s">
        <v>374</v>
      </c>
      <c r="M206" s="429"/>
      <c r="N206" s="429"/>
      <c r="O206" s="429"/>
      <c r="P206" s="429"/>
      <c r="Q206" s="429"/>
      <c r="R206" s="429"/>
      <c r="S206" s="429"/>
      <c r="T206" s="429"/>
      <c r="U206" s="429"/>
      <c r="V206" s="429"/>
      <c r="W206" s="429"/>
      <c r="X206" s="429"/>
      <c r="Y206" s="430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</row>
    <row r="207" spans="1:39" ht="26.25" customHeight="1" outlineLevel="1" x14ac:dyDescent="0.2">
      <c r="A207" s="25" t="s">
        <v>372</v>
      </c>
      <c r="B207" s="10"/>
      <c r="C207" s="10"/>
      <c r="D207" s="10"/>
      <c r="E207" s="192"/>
      <c r="F207" s="212"/>
      <c r="G207" s="212"/>
      <c r="H207" s="212"/>
      <c r="I207" s="212"/>
      <c r="J207" s="212"/>
      <c r="K207" s="212"/>
      <c r="L207" s="431" t="s">
        <v>153</v>
      </c>
      <c r="M207" s="431"/>
      <c r="N207" s="431"/>
      <c r="O207" s="431"/>
      <c r="P207" s="57"/>
      <c r="Q207" s="57"/>
      <c r="R207" s="60"/>
      <c r="S207" s="432"/>
      <c r="T207" s="433"/>
      <c r="U207" s="433"/>
      <c r="V207" s="433"/>
      <c r="W207" s="433"/>
      <c r="X207" s="433"/>
      <c r="Y207" s="434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</row>
    <row r="208" spans="1:39" ht="26.25" customHeight="1" outlineLevel="1" x14ac:dyDescent="0.2">
      <c r="A208" s="25" t="s">
        <v>373</v>
      </c>
      <c r="B208" s="14"/>
      <c r="C208" s="14"/>
      <c r="D208" s="10"/>
      <c r="E208" s="192"/>
      <c r="F208" s="212"/>
      <c r="G208" s="212"/>
      <c r="H208" s="212"/>
      <c r="I208" s="212"/>
      <c r="J208" s="212"/>
      <c r="K208" s="212"/>
      <c r="L208" s="240" t="s">
        <v>154</v>
      </c>
      <c r="M208" s="190"/>
      <c r="N208" s="190"/>
      <c r="O208" s="190"/>
      <c r="P208" s="57"/>
      <c r="Q208" s="57"/>
      <c r="R208" s="60"/>
      <c r="S208" s="241"/>
      <c r="T208" s="190"/>
      <c r="U208" s="190"/>
      <c r="V208" s="190"/>
      <c r="W208" s="190"/>
      <c r="X208" s="190"/>
      <c r="Y208" s="20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</row>
    <row r="209" spans="1:39" ht="27" customHeight="1" outlineLevel="1" x14ac:dyDescent="0.2">
      <c r="A209" s="25" t="s">
        <v>375</v>
      </c>
      <c r="B209" s="14"/>
      <c r="C209" s="14"/>
      <c r="D209" s="10"/>
      <c r="E209" s="192"/>
      <c r="F209" s="212"/>
      <c r="G209" s="212"/>
      <c r="H209" s="212"/>
      <c r="I209" s="212"/>
      <c r="J209" s="212"/>
      <c r="K209" s="212"/>
      <c r="L209" s="428" t="s">
        <v>155</v>
      </c>
      <c r="M209" s="190"/>
      <c r="N209" s="190"/>
      <c r="O209" s="190"/>
      <c r="P209" s="57"/>
      <c r="Q209" s="57"/>
      <c r="R209" s="60"/>
      <c r="S209" s="241"/>
      <c r="T209" s="190"/>
      <c r="U209" s="190"/>
      <c r="V209" s="190"/>
      <c r="W209" s="190"/>
      <c r="X209" s="190"/>
      <c r="Y209" s="20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</row>
    <row r="210" spans="1:39" ht="27.75" customHeight="1" outlineLevel="1" x14ac:dyDescent="0.2">
      <c r="A210" s="25" t="s">
        <v>376</v>
      </c>
      <c r="B210" s="14"/>
      <c r="C210" s="14"/>
      <c r="D210" s="10"/>
      <c r="E210" s="192"/>
      <c r="F210" s="212"/>
      <c r="G210" s="212"/>
      <c r="H210" s="212"/>
      <c r="I210" s="212"/>
      <c r="J210" s="212"/>
      <c r="K210" s="213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100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</row>
    <row r="211" spans="1:39" ht="26.25" customHeight="1" outlineLevel="1" thickBot="1" x14ac:dyDescent="0.25">
      <c r="A211" s="29" t="s">
        <v>377</v>
      </c>
      <c r="B211" s="30"/>
      <c r="C211" s="30"/>
      <c r="D211" s="41"/>
      <c r="E211" s="230"/>
      <c r="F211" s="210"/>
      <c r="G211" s="210"/>
      <c r="H211" s="210"/>
      <c r="I211" s="210"/>
      <c r="J211" s="210"/>
      <c r="K211" s="21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2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</row>
    <row r="212" spans="1:39" ht="15.75" customHeight="1" outlineLevel="1" x14ac:dyDescent="0.2">
      <c r="A212" s="449" t="s">
        <v>76</v>
      </c>
      <c r="B212" s="435" t="s">
        <v>378</v>
      </c>
      <c r="C212" s="436"/>
      <c r="D212" s="436"/>
      <c r="E212" s="436"/>
      <c r="F212" s="436"/>
      <c r="G212" s="436"/>
      <c r="H212" s="436"/>
      <c r="I212" s="437"/>
      <c r="J212" s="438" t="s">
        <v>24</v>
      </c>
      <c r="K212" s="439"/>
      <c r="L212" s="201" t="s">
        <v>76</v>
      </c>
      <c r="M212" s="201"/>
      <c r="N212" s="201"/>
      <c r="O212" s="201"/>
      <c r="P212" s="199" t="s">
        <v>253</v>
      </c>
      <c r="Q212" s="200"/>
      <c r="R212" s="199" t="s">
        <v>24</v>
      </c>
      <c r="S212" s="199" t="s">
        <v>0</v>
      </c>
      <c r="T212" s="199"/>
      <c r="U212" s="199"/>
      <c r="V212" s="199"/>
      <c r="W212" s="199"/>
      <c r="X212" s="199"/>
      <c r="Y212" s="445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</row>
    <row r="213" spans="1:39" ht="15.75" customHeight="1" outlineLevel="1" x14ac:dyDescent="0.2">
      <c r="A213" s="450"/>
      <c r="B213" s="360" t="s">
        <v>379</v>
      </c>
      <c r="C213" s="213"/>
      <c r="D213" s="412">
        <v>45949</v>
      </c>
      <c r="E213" s="213"/>
      <c r="F213" s="360" t="s">
        <v>380</v>
      </c>
      <c r="G213" s="213"/>
      <c r="H213" s="360" t="s">
        <v>381</v>
      </c>
      <c r="I213" s="213"/>
      <c r="J213" s="367"/>
      <c r="K213" s="236"/>
      <c r="L213" s="189"/>
      <c r="M213" s="189"/>
      <c r="N213" s="189"/>
      <c r="O213" s="189"/>
      <c r="P213" s="191" t="s">
        <v>22</v>
      </c>
      <c r="Q213" s="191" t="s">
        <v>23</v>
      </c>
      <c r="R213" s="191"/>
      <c r="S213" s="191"/>
      <c r="T213" s="191"/>
      <c r="U213" s="191"/>
      <c r="V213" s="191"/>
      <c r="W213" s="191"/>
      <c r="X213" s="191"/>
      <c r="Y213" s="444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</row>
    <row r="214" spans="1:39" ht="15.75" customHeight="1" outlineLevel="1" x14ac:dyDescent="0.2">
      <c r="A214" s="451"/>
      <c r="B214" s="13" t="s">
        <v>22</v>
      </c>
      <c r="C214" s="13" t="s">
        <v>23</v>
      </c>
      <c r="D214" s="13" t="s">
        <v>22</v>
      </c>
      <c r="E214" s="13" t="s">
        <v>23</v>
      </c>
      <c r="F214" s="13" t="s">
        <v>22</v>
      </c>
      <c r="G214" s="13" t="s">
        <v>23</v>
      </c>
      <c r="H214" s="13" t="s">
        <v>22</v>
      </c>
      <c r="I214" s="13" t="s">
        <v>23</v>
      </c>
      <c r="J214" s="440"/>
      <c r="K214" s="207"/>
      <c r="L214" s="189"/>
      <c r="M214" s="189"/>
      <c r="N214" s="189"/>
      <c r="O214" s="189"/>
      <c r="P214" s="191"/>
      <c r="Q214" s="191"/>
      <c r="R214" s="191"/>
      <c r="S214" s="191"/>
      <c r="T214" s="191"/>
      <c r="U214" s="191"/>
      <c r="V214" s="191"/>
      <c r="W214" s="191"/>
      <c r="X214" s="191"/>
      <c r="Y214" s="444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</row>
    <row r="215" spans="1:39" ht="15.75" customHeight="1" outlineLevel="1" x14ac:dyDescent="0.2">
      <c r="A215" s="413" t="s">
        <v>382</v>
      </c>
      <c r="B215" s="414"/>
      <c r="C215" s="414"/>
      <c r="D215" s="414"/>
      <c r="E215" s="414"/>
      <c r="F215" s="414"/>
      <c r="G215" s="414"/>
      <c r="H215" s="414"/>
      <c r="I215" s="414"/>
      <c r="J215" s="414"/>
      <c r="K215" s="415"/>
      <c r="L215" s="416" t="s">
        <v>156</v>
      </c>
      <c r="M215" s="417"/>
      <c r="N215" s="417"/>
      <c r="O215" s="418"/>
      <c r="P215" s="79"/>
      <c r="Q215" s="79"/>
      <c r="R215" s="79"/>
      <c r="S215" s="259"/>
      <c r="T215" s="260"/>
      <c r="U215" s="260"/>
      <c r="V215" s="260"/>
      <c r="W215" s="260"/>
      <c r="X215" s="260"/>
      <c r="Y215" s="305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</row>
    <row r="216" spans="1:39" ht="30.75" customHeight="1" outlineLevel="1" x14ac:dyDescent="0.2">
      <c r="A216" s="80" t="s">
        <v>383</v>
      </c>
      <c r="B216" s="31"/>
      <c r="C216" s="31"/>
      <c r="D216" s="31"/>
      <c r="E216" s="31"/>
      <c r="F216" s="31"/>
      <c r="G216" s="31"/>
      <c r="H216" s="31"/>
      <c r="I216" s="31"/>
      <c r="J216" s="424"/>
      <c r="K216" s="260"/>
      <c r="L216" s="425" t="s">
        <v>157</v>
      </c>
      <c r="M216" s="426"/>
      <c r="N216" s="426"/>
      <c r="O216" s="427"/>
      <c r="P216" s="82"/>
      <c r="Q216" s="82"/>
      <c r="R216" s="83"/>
      <c r="S216" s="259"/>
      <c r="T216" s="260"/>
      <c r="U216" s="260"/>
      <c r="V216" s="260"/>
      <c r="W216" s="260"/>
      <c r="X216" s="260"/>
      <c r="Y216" s="305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</row>
    <row r="217" spans="1:39" ht="18.75" customHeight="1" outlineLevel="1" x14ac:dyDescent="0.2">
      <c r="A217" s="482"/>
      <c r="B217" s="483"/>
      <c r="C217" s="483"/>
      <c r="D217" s="483"/>
      <c r="E217" s="483"/>
      <c r="F217" s="483"/>
      <c r="G217" s="483"/>
      <c r="H217" s="483"/>
      <c r="I217" s="483"/>
      <c r="J217" s="483"/>
      <c r="K217" s="483"/>
      <c r="L217" s="423" t="s">
        <v>158</v>
      </c>
      <c r="M217" s="423"/>
      <c r="N217" s="423"/>
      <c r="O217" s="423"/>
      <c r="P217" s="57"/>
      <c r="Q217" s="57"/>
      <c r="R217" s="60"/>
      <c r="S217" s="241"/>
      <c r="T217" s="190"/>
      <c r="U217" s="190"/>
      <c r="V217" s="190"/>
      <c r="W217" s="190"/>
      <c r="X217" s="190"/>
      <c r="Y217" s="20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</row>
    <row r="218" spans="1:39" ht="18.75" customHeight="1" outlineLevel="1" x14ac:dyDescent="0.2">
      <c r="A218" s="482"/>
      <c r="B218" s="483"/>
      <c r="C218" s="483"/>
      <c r="D218" s="483"/>
      <c r="E218" s="483"/>
      <c r="F218" s="483"/>
      <c r="G218" s="483"/>
      <c r="H218" s="483"/>
      <c r="I218" s="483"/>
      <c r="J218" s="483"/>
      <c r="K218" s="483"/>
      <c r="L218" s="423" t="s">
        <v>159</v>
      </c>
      <c r="M218" s="423"/>
      <c r="N218" s="423"/>
      <c r="O218" s="423"/>
      <c r="P218" s="57"/>
      <c r="Q218" s="57"/>
      <c r="R218" s="60"/>
      <c r="S218" s="241"/>
      <c r="T218" s="190"/>
      <c r="U218" s="190"/>
      <c r="V218" s="190"/>
      <c r="W218" s="190"/>
      <c r="X218" s="190"/>
      <c r="Y218" s="20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</row>
    <row r="219" spans="1:39" ht="18.75" customHeight="1" outlineLevel="1" x14ac:dyDescent="0.2">
      <c r="A219" s="482"/>
      <c r="B219" s="483"/>
      <c r="C219" s="483"/>
      <c r="D219" s="483"/>
      <c r="E219" s="483"/>
      <c r="F219" s="483"/>
      <c r="G219" s="483"/>
      <c r="H219" s="483"/>
      <c r="I219" s="483"/>
      <c r="J219" s="483"/>
      <c r="K219" s="483"/>
      <c r="L219" s="423" t="s">
        <v>160</v>
      </c>
      <c r="M219" s="423"/>
      <c r="N219" s="423"/>
      <c r="O219" s="423"/>
      <c r="P219" s="57"/>
      <c r="Q219" s="57"/>
      <c r="R219" s="60"/>
      <c r="S219" s="241"/>
      <c r="T219" s="190"/>
      <c r="U219" s="190"/>
      <c r="V219" s="190"/>
      <c r="W219" s="190"/>
      <c r="X219" s="190"/>
      <c r="Y219" s="20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</row>
    <row r="220" spans="1:39" ht="18.75" customHeight="1" outlineLevel="1" x14ac:dyDescent="0.2">
      <c r="A220" s="482"/>
      <c r="B220" s="483"/>
      <c r="C220" s="483"/>
      <c r="D220" s="483"/>
      <c r="E220" s="483"/>
      <c r="F220" s="483"/>
      <c r="G220" s="483"/>
      <c r="H220" s="483"/>
      <c r="I220" s="483"/>
      <c r="J220" s="483"/>
      <c r="K220" s="483"/>
      <c r="L220" s="423" t="s">
        <v>161</v>
      </c>
      <c r="M220" s="423"/>
      <c r="N220" s="423"/>
      <c r="O220" s="423"/>
      <c r="P220" s="57"/>
      <c r="Q220" s="57"/>
      <c r="R220" s="60"/>
      <c r="S220" s="241"/>
      <c r="T220" s="190"/>
      <c r="U220" s="190"/>
      <c r="V220" s="190"/>
      <c r="W220" s="190"/>
      <c r="X220" s="190"/>
      <c r="Y220" s="20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</row>
    <row r="221" spans="1:39" ht="18.75" customHeight="1" outlineLevel="1" x14ac:dyDescent="0.2">
      <c r="A221" s="482"/>
      <c r="B221" s="483"/>
      <c r="C221" s="483"/>
      <c r="D221" s="483"/>
      <c r="E221" s="483"/>
      <c r="F221" s="483"/>
      <c r="G221" s="483"/>
      <c r="H221" s="483"/>
      <c r="I221" s="483"/>
      <c r="J221" s="483"/>
      <c r="K221" s="483"/>
      <c r="L221" s="423" t="s">
        <v>162</v>
      </c>
      <c r="M221" s="423"/>
      <c r="N221" s="423"/>
      <c r="O221" s="423"/>
      <c r="P221" s="57"/>
      <c r="Q221" s="57"/>
      <c r="R221" s="60"/>
      <c r="S221" s="241"/>
      <c r="T221" s="190"/>
      <c r="U221" s="190"/>
      <c r="V221" s="190"/>
      <c r="W221" s="190"/>
      <c r="X221" s="190"/>
      <c r="Y221" s="20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</row>
    <row r="222" spans="1:39" ht="18.75" customHeight="1" outlineLevel="1" x14ac:dyDescent="0.2">
      <c r="A222" s="482"/>
      <c r="B222" s="483"/>
      <c r="C222" s="483"/>
      <c r="D222" s="483"/>
      <c r="E222" s="483"/>
      <c r="F222" s="483"/>
      <c r="G222" s="483"/>
      <c r="H222" s="483"/>
      <c r="I222" s="483"/>
      <c r="J222" s="483"/>
      <c r="K222" s="483"/>
      <c r="L222" s="423" t="s">
        <v>163</v>
      </c>
      <c r="M222" s="423"/>
      <c r="N222" s="423"/>
      <c r="O222" s="423"/>
      <c r="P222" s="57"/>
      <c r="Q222" s="57"/>
      <c r="R222" s="60"/>
      <c r="S222" s="241"/>
      <c r="T222" s="190"/>
      <c r="U222" s="190"/>
      <c r="V222" s="190"/>
      <c r="W222" s="190"/>
      <c r="X222" s="190"/>
      <c r="Y222" s="20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</row>
    <row r="223" spans="1:39" ht="27" customHeight="1" outlineLevel="1" x14ac:dyDescent="0.2">
      <c r="A223" s="482"/>
      <c r="B223" s="483"/>
      <c r="C223" s="483"/>
      <c r="D223" s="483"/>
      <c r="E223" s="483"/>
      <c r="F223" s="483"/>
      <c r="G223" s="483"/>
      <c r="H223" s="483"/>
      <c r="I223" s="483"/>
      <c r="J223" s="483"/>
      <c r="K223" s="483"/>
      <c r="L223" s="400" t="s">
        <v>164</v>
      </c>
      <c r="M223" s="400"/>
      <c r="N223" s="400"/>
      <c r="O223" s="400"/>
      <c r="P223" s="57"/>
      <c r="Q223" s="57"/>
      <c r="R223" s="60"/>
      <c r="S223" s="241"/>
      <c r="T223" s="190"/>
      <c r="U223" s="190"/>
      <c r="V223" s="190"/>
      <c r="W223" s="190"/>
      <c r="X223" s="190"/>
      <c r="Y223" s="20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</row>
    <row r="224" spans="1:39" ht="15.75" customHeight="1" outlineLevel="1" x14ac:dyDescent="0.2">
      <c r="A224" s="411" t="s">
        <v>76</v>
      </c>
      <c r="B224" s="190"/>
      <c r="C224" s="190"/>
      <c r="D224" s="191" t="s">
        <v>24</v>
      </c>
      <c r="E224" s="191" t="s">
        <v>0</v>
      </c>
      <c r="F224" s="190"/>
      <c r="G224" s="190"/>
      <c r="H224" s="190"/>
      <c r="I224" s="190"/>
      <c r="J224" s="190"/>
      <c r="K224" s="190"/>
      <c r="L224" s="189" t="s">
        <v>76</v>
      </c>
      <c r="M224" s="189"/>
      <c r="N224" s="189"/>
      <c r="O224" s="189"/>
      <c r="P224" s="189"/>
      <c r="Q224" s="189"/>
      <c r="R224" s="189"/>
      <c r="S224" s="189"/>
      <c r="T224" s="191" t="s">
        <v>24</v>
      </c>
      <c r="U224" s="191" t="s">
        <v>0</v>
      </c>
      <c r="V224" s="191"/>
      <c r="W224" s="191"/>
      <c r="X224" s="191"/>
      <c r="Y224" s="444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</row>
    <row r="225" spans="1:39" ht="15.75" customHeight="1" outlineLevel="1" x14ac:dyDescent="0.2">
      <c r="A225" s="198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89"/>
      <c r="M225" s="189"/>
      <c r="N225" s="189"/>
      <c r="O225" s="189"/>
      <c r="P225" s="189"/>
      <c r="Q225" s="189"/>
      <c r="R225" s="189"/>
      <c r="S225" s="189"/>
      <c r="T225" s="190"/>
      <c r="U225" s="191"/>
      <c r="V225" s="191"/>
      <c r="W225" s="191"/>
      <c r="X225" s="191"/>
      <c r="Y225" s="444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</row>
    <row r="226" spans="1:39" ht="15.75" customHeight="1" outlineLevel="1" x14ac:dyDescent="0.2">
      <c r="A226" s="316" t="s">
        <v>384</v>
      </c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396" t="s">
        <v>385</v>
      </c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20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</row>
    <row r="227" spans="1:39" ht="20.25" customHeight="1" outlineLevel="1" x14ac:dyDescent="0.2">
      <c r="A227" s="472" t="s">
        <v>386</v>
      </c>
      <c r="B227" s="190"/>
      <c r="C227" s="190"/>
      <c r="D227" s="60"/>
      <c r="E227" s="401"/>
      <c r="F227" s="401"/>
      <c r="G227" s="401"/>
      <c r="H227" s="401"/>
      <c r="I227" s="401"/>
      <c r="J227" s="401"/>
      <c r="K227" s="401"/>
      <c r="L227" s="240" t="s">
        <v>387</v>
      </c>
      <c r="M227" s="190"/>
      <c r="N227" s="190"/>
      <c r="O227" s="190"/>
      <c r="P227" s="190"/>
      <c r="Q227" s="190"/>
      <c r="R227" s="190"/>
      <c r="S227" s="190"/>
      <c r="T227" s="84"/>
      <c r="U227" s="401"/>
      <c r="V227" s="401"/>
      <c r="W227" s="401"/>
      <c r="X227" s="401"/>
      <c r="Y227" s="402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</row>
    <row r="228" spans="1:39" ht="20.25" customHeight="1" outlineLevel="1" x14ac:dyDescent="0.2">
      <c r="A228" s="472" t="s">
        <v>388</v>
      </c>
      <c r="B228" s="190"/>
      <c r="C228" s="190"/>
      <c r="D228" s="57"/>
      <c r="E228" s="401"/>
      <c r="F228" s="401"/>
      <c r="G228" s="401"/>
      <c r="H228" s="401"/>
      <c r="I228" s="401"/>
      <c r="J228" s="401"/>
      <c r="K228" s="401"/>
      <c r="L228" s="240" t="s">
        <v>389</v>
      </c>
      <c r="M228" s="190"/>
      <c r="N228" s="190"/>
      <c r="O228" s="190"/>
      <c r="P228" s="190"/>
      <c r="Q228" s="190"/>
      <c r="R228" s="190"/>
      <c r="S228" s="190"/>
      <c r="T228" s="84"/>
      <c r="U228" s="401"/>
      <c r="V228" s="401"/>
      <c r="W228" s="401"/>
      <c r="X228" s="401"/>
      <c r="Y228" s="402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</row>
    <row r="229" spans="1:39" ht="27.75" customHeight="1" outlineLevel="1" x14ac:dyDescent="0.2">
      <c r="A229" s="472" t="s">
        <v>390</v>
      </c>
      <c r="B229" s="190"/>
      <c r="C229" s="190"/>
      <c r="D229" s="57"/>
      <c r="E229" s="401"/>
      <c r="F229" s="401"/>
      <c r="G229" s="401"/>
      <c r="H229" s="401"/>
      <c r="I229" s="401"/>
      <c r="J229" s="401"/>
      <c r="K229" s="401"/>
      <c r="L229" s="240" t="s">
        <v>391</v>
      </c>
      <c r="M229" s="190"/>
      <c r="N229" s="190"/>
      <c r="O229" s="190"/>
      <c r="P229" s="190"/>
      <c r="Q229" s="190"/>
      <c r="R229" s="190"/>
      <c r="S229" s="190"/>
      <c r="T229" s="60"/>
      <c r="U229" s="401"/>
      <c r="V229" s="401"/>
      <c r="W229" s="401"/>
      <c r="X229" s="401"/>
      <c r="Y229" s="402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</row>
    <row r="230" spans="1:39" ht="21" customHeight="1" outlineLevel="1" x14ac:dyDescent="0.2">
      <c r="A230" s="472" t="s">
        <v>392</v>
      </c>
      <c r="B230" s="190"/>
      <c r="C230" s="190"/>
      <c r="D230" s="57"/>
      <c r="E230" s="401"/>
      <c r="F230" s="401"/>
      <c r="G230" s="401"/>
      <c r="H230" s="401"/>
      <c r="I230" s="401"/>
      <c r="J230" s="401"/>
      <c r="K230" s="401"/>
      <c r="L230" s="240" t="s">
        <v>393</v>
      </c>
      <c r="M230" s="190"/>
      <c r="N230" s="190"/>
      <c r="O230" s="190"/>
      <c r="P230" s="190"/>
      <c r="Q230" s="190"/>
      <c r="R230" s="190"/>
      <c r="S230" s="190"/>
      <c r="T230" s="57"/>
      <c r="U230" s="401"/>
      <c r="V230" s="401"/>
      <c r="W230" s="401"/>
      <c r="X230" s="401"/>
      <c r="Y230" s="402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</row>
    <row r="231" spans="1:39" ht="21" customHeight="1" outlineLevel="1" x14ac:dyDescent="0.2">
      <c r="A231" s="472" t="s">
        <v>394</v>
      </c>
      <c r="B231" s="190"/>
      <c r="C231" s="190"/>
      <c r="D231" s="57"/>
      <c r="E231" s="401"/>
      <c r="F231" s="401"/>
      <c r="G231" s="401"/>
      <c r="H231" s="401"/>
      <c r="I231" s="401"/>
      <c r="J231" s="401"/>
      <c r="K231" s="401"/>
      <c r="L231" s="240" t="s">
        <v>395</v>
      </c>
      <c r="M231" s="190"/>
      <c r="N231" s="190"/>
      <c r="O231" s="190"/>
      <c r="P231" s="190"/>
      <c r="Q231" s="190"/>
      <c r="R231" s="190"/>
      <c r="S231" s="190"/>
      <c r="T231" s="57"/>
      <c r="U231" s="401"/>
      <c r="V231" s="401"/>
      <c r="W231" s="401"/>
      <c r="X231" s="401"/>
      <c r="Y231" s="402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</row>
    <row r="232" spans="1:39" ht="21" customHeight="1" outlineLevel="1" x14ac:dyDescent="0.2">
      <c r="A232" s="472" t="s">
        <v>396</v>
      </c>
      <c r="B232" s="190"/>
      <c r="C232" s="190"/>
      <c r="D232" s="57"/>
      <c r="E232" s="401"/>
      <c r="F232" s="401"/>
      <c r="G232" s="401"/>
      <c r="H232" s="401"/>
      <c r="I232" s="401"/>
      <c r="J232" s="401"/>
      <c r="K232" s="401"/>
      <c r="L232" s="240" t="s">
        <v>397</v>
      </c>
      <c r="M232" s="190"/>
      <c r="N232" s="190"/>
      <c r="O232" s="190"/>
      <c r="P232" s="190"/>
      <c r="Q232" s="190"/>
      <c r="R232" s="190"/>
      <c r="S232" s="190"/>
      <c r="T232" s="60"/>
      <c r="U232" s="401"/>
      <c r="V232" s="401"/>
      <c r="W232" s="401"/>
      <c r="X232" s="401"/>
      <c r="Y232" s="402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</row>
    <row r="233" spans="1:39" ht="21" customHeight="1" outlineLevel="1" x14ac:dyDescent="0.2">
      <c r="A233" s="472" t="s">
        <v>398</v>
      </c>
      <c r="B233" s="190"/>
      <c r="C233" s="190"/>
      <c r="D233" s="60"/>
      <c r="E233" s="401"/>
      <c r="F233" s="401"/>
      <c r="G233" s="401"/>
      <c r="H233" s="401"/>
      <c r="I233" s="401"/>
      <c r="J233" s="401"/>
      <c r="K233" s="401"/>
      <c r="L233" s="240" t="s">
        <v>399</v>
      </c>
      <c r="M233" s="190"/>
      <c r="N233" s="190"/>
      <c r="O233" s="190"/>
      <c r="P233" s="190"/>
      <c r="Q233" s="190"/>
      <c r="R233" s="190"/>
      <c r="S233" s="190"/>
      <c r="T233" s="57"/>
      <c r="U233" s="401"/>
      <c r="V233" s="401"/>
      <c r="W233" s="401"/>
      <c r="X233" s="401"/>
      <c r="Y233" s="402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</row>
    <row r="234" spans="1:39" ht="21" customHeight="1" outlineLevel="1" x14ac:dyDescent="0.2">
      <c r="A234" s="484" t="s">
        <v>400</v>
      </c>
      <c r="B234" s="190"/>
      <c r="C234" s="190"/>
      <c r="D234" s="57"/>
      <c r="E234" s="401"/>
      <c r="F234" s="401"/>
      <c r="G234" s="401"/>
      <c r="H234" s="401"/>
      <c r="I234" s="401"/>
      <c r="J234" s="401"/>
      <c r="K234" s="401"/>
      <c r="L234" s="240" t="s">
        <v>401</v>
      </c>
      <c r="M234" s="190"/>
      <c r="N234" s="190"/>
      <c r="O234" s="190"/>
      <c r="P234" s="190"/>
      <c r="Q234" s="190"/>
      <c r="R234" s="190"/>
      <c r="S234" s="190"/>
      <c r="T234" s="57"/>
      <c r="U234" s="401"/>
      <c r="V234" s="401"/>
      <c r="W234" s="401"/>
      <c r="X234" s="401"/>
      <c r="Y234" s="402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</row>
    <row r="235" spans="1:39" ht="21" customHeight="1" outlineLevel="1" x14ac:dyDescent="0.2">
      <c r="A235" s="484" t="s">
        <v>402</v>
      </c>
      <c r="B235" s="190"/>
      <c r="C235" s="190"/>
      <c r="D235" s="57"/>
      <c r="E235" s="401"/>
      <c r="F235" s="401"/>
      <c r="G235" s="401"/>
      <c r="H235" s="401"/>
      <c r="I235" s="401"/>
      <c r="J235" s="401"/>
      <c r="K235" s="401"/>
      <c r="L235" s="240" t="s">
        <v>403</v>
      </c>
      <c r="M235" s="190"/>
      <c r="N235" s="190"/>
      <c r="O235" s="190"/>
      <c r="P235" s="190"/>
      <c r="Q235" s="190"/>
      <c r="R235" s="190"/>
      <c r="S235" s="190"/>
      <c r="T235" s="60"/>
      <c r="U235" s="401"/>
      <c r="V235" s="401"/>
      <c r="W235" s="401"/>
      <c r="X235" s="401"/>
      <c r="Y235" s="402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</row>
    <row r="236" spans="1:39" ht="21" customHeight="1" outlineLevel="1" x14ac:dyDescent="0.2">
      <c r="A236" s="472" t="s">
        <v>404</v>
      </c>
      <c r="B236" s="190"/>
      <c r="C236" s="190"/>
      <c r="D236" s="57"/>
      <c r="E236" s="401"/>
      <c r="F236" s="401"/>
      <c r="G236" s="401"/>
      <c r="H236" s="401"/>
      <c r="I236" s="401"/>
      <c r="J236" s="401"/>
      <c r="K236" s="401"/>
      <c r="L236" s="240" t="s">
        <v>405</v>
      </c>
      <c r="M236" s="190"/>
      <c r="N236" s="190"/>
      <c r="O236" s="190"/>
      <c r="P236" s="190"/>
      <c r="Q236" s="190"/>
      <c r="R236" s="190"/>
      <c r="S236" s="190"/>
      <c r="T236" s="57"/>
      <c r="U236" s="401"/>
      <c r="V236" s="401"/>
      <c r="W236" s="401"/>
      <c r="X236" s="401"/>
      <c r="Y236" s="402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</row>
    <row r="237" spans="1:39" ht="27" customHeight="1" outlineLevel="1" x14ac:dyDescent="0.2">
      <c r="A237" s="472" t="s">
        <v>406</v>
      </c>
      <c r="B237" s="190"/>
      <c r="C237" s="190"/>
      <c r="D237" s="60"/>
      <c r="E237" s="401"/>
      <c r="F237" s="401"/>
      <c r="G237" s="401"/>
      <c r="H237" s="401"/>
      <c r="I237" s="401"/>
      <c r="J237" s="401"/>
      <c r="K237" s="401"/>
      <c r="L237" s="240" t="s">
        <v>407</v>
      </c>
      <c r="M237" s="190"/>
      <c r="N237" s="190"/>
      <c r="O237" s="190"/>
      <c r="P237" s="190"/>
      <c r="Q237" s="190"/>
      <c r="R237" s="190"/>
      <c r="S237" s="190"/>
      <c r="T237" s="57"/>
      <c r="U237" s="401"/>
      <c r="V237" s="401"/>
      <c r="W237" s="401"/>
      <c r="X237" s="401"/>
      <c r="Y237" s="402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</row>
    <row r="238" spans="1:39" ht="22.5" customHeight="1" outlineLevel="1" x14ac:dyDescent="0.2">
      <c r="A238" s="472" t="s">
        <v>408</v>
      </c>
      <c r="B238" s="190"/>
      <c r="C238" s="190"/>
      <c r="D238" s="57"/>
      <c r="E238" s="401"/>
      <c r="F238" s="401"/>
      <c r="G238" s="401"/>
      <c r="H238" s="401"/>
      <c r="I238" s="401"/>
      <c r="J238" s="401"/>
      <c r="K238" s="401"/>
      <c r="L238" s="240" t="s">
        <v>409</v>
      </c>
      <c r="M238" s="190"/>
      <c r="N238" s="190"/>
      <c r="O238" s="190"/>
      <c r="P238" s="190"/>
      <c r="Q238" s="190"/>
      <c r="R238" s="190"/>
      <c r="S238" s="190"/>
      <c r="T238" s="60"/>
      <c r="U238" s="401"/>
      <c r="V238" s="401"/>
      <c r="W238" s="401"/>
      <c r="X238" s="401"/>
      <c r="Y238" s="402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</row>
    <row r="239" spans="1:39" ht="22.5" customHeight="1" outlineLevel="1" x14ac:dyDescent="0.2">
      <c r="A239" s="472" t="s">
        <v>410</v>
      </c>
      <c r="B239" s="190"/>
      <c r="C239" s="190"/>
      <c r="D239" s="57"/>
      <c r="E239" s="401"/>
      <c r="F239" s="401"/>
      <c r="G239" s="401"/>
      <c r="H239" s="401"/>
      <c r="I239" s="401"/>
      <c r="J239" s="401"/>
      <c r="K239" s="401"/>
      <c r="L239" s="241" t="s">
        <v>411</v>
      </c>
      <c r="M239" s="190"/>
      <c r="N239" s="190"/>
      <c r="O239" s="190"/>
      <c r="P239" s="190"/>
      <c r="Q239" s="190"/>
      <c r="R239" s="190"/>
      <c r="S239" s="190"/>
      <c r="T239" s="57"/>
      <c r="U239" s="401"/>
      <c r="V239" s="401"/>
      <c r="W239" s="401"/>
      <c r="X239" s="401"/>
      <c r="Y239" s="402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</row>
    <row r="240" spans="1:39" ht="19.5" customHeight="1" outlineLevel="1" x14ac:dyDescent="0.2">
      <c r="A240" s="399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241" t="s">
        <v>412</v>
      </c>
      <c r="M240" s="190"/>
      <c r="N240" s="190"/>
      <c r="O240" s="190"/>
      <c r="P240" s="190"/>
      <c r="Q240" s="190"/>
      <c r="R240" s="190"/>
      <c r="S240" s="190"/>
      <c r="T240" s="57"/>
      <c r="U240" s="401"/>
      <c r="V240" s="401"/>
      <c r="W240" s="401"/>
      <c r="X240" s="401"/>
      <c r="Y240" s="402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</row>
    <row r="241" spans="1:39" ht="30.75" customHeight="1" outlineLevel="1" x14ac:dyDescent="0.2">
      <c r="A241" s="198"/>
      <c r="B241" s="397"/>
      <c r="C241" s="397"/>
      <c r="D241" s="397"/>
      <c r="E241" s="397"/>
      <c r="F241" s="397"/>
      <c r="G241" s="397"/>
      <c r="H241" s="397"/>
      <c r="I241" s="397"/>
      <c r="J241" s="397"/>
      <c r="K241" s="190"/>
      <c r="L241" s="240" t="s">
        <v>413</v>
      </c>
      <c r="M241" s="190"/>
      <c r="N241" s="190"/>
      <c r="O241" s="190"/>
      <c r="P241" s="190"/>
      <c r="Q241" s="190"/>
      <c r="R241" s="190"/>
      <c r="S241" s="190"/>
      <c r="T241" s="60"/>
      <c r="U241" s="401"/>
      <c r="V241" s="401"/>
      <c r="W241" s="401"/>
      <c r="X241" s="401"/>
      <c r="Y241" s="402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</row>
    <row r="242" spans="1:39" ht="18" customHeight="1" outlineLevel="1" x14ac:dyDescent="0.2">
      <c r="A242" s="198"/>
      <c r="B242" s="397"/>
      <c r="C242" s="397"/>
      <c r="D242" s="397"/>
      <c r="E242" s="397"/>
      <c r="F242" s="397"/>
      <c r="G242" s="397"/>
      <c r="H242" s="397"/>
      <c r="I242" s="397"/>
      <c r="J242" s="397"/>
      <c r="K242" s="190"/>
      <c r="L242" s="241" t="s">
        <v>414</v>
      </c>
      <c r="M242" s="190"/>
      <c r="N242" s="190"/>
      <c r="O242" s="190"/>
      <c r="P242" s="190"/>
      <c r="Q242" s="190"/>
      <c r="R242" s="190"/>
      <c r="S242" s="190"/>
      <c r="T242" s="57"/>
      <c r="U242" s="401"/>
      <c r="V242" s="401"/>
      <c r="W242" s="401"/>
      <c r="X242" s="401"/>
      <c r="Y242" s="402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</row>
    <row r="243" spans="1:39" ht="18" customHeight="1" x14ac:dyDescent="0.2">
      <c r="A243" s="198"/>
      <c r="B243" s="397"/>
      <c r="C243" s="397"/>
      <c r="D243" s="397"/>
      <c r="E243" s="397"/>
      <c r="F243" s="397"/>
      <c r="G243" s="397"/>
      <c r="H243" s="397"/>
      <c r="I243" s="397"/>
      <c r="J243" s="397"/>
      <c r="K243" s="190"/>
      <c r="L243" s="241" t="s">
        <v>415</v>
      </c>
      <c r="M243" s="190"/>
      <c r="N243" s="190"/>
      <c r="O243" s="190"/>
      <c r="P243" s="190"/>
      <c r="Q243" s="190"/>
      <c r="R243" s="190"/>
      <c r="S243" s="190"/>
      <c r="T243" s="57"/>
      <c r="U243" s="401"/>
      <c r="V243" s="401"/>
      <c r="W243" s="401"/>
      <c r="X243" s="401"/>
      <c r="Y243" s="402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</row>
    <row r="244" spans="1:39" ht="30" customHeight="1" outlineLevel="1" x14ac:dyDescent="0.2">
      <c r="A244" s="198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240" t="s">
        <v>416</v>
      </c>
      <c r="M244" s="190"/>
      <c r="N244" s="190"/>
      <c r="O244" s="190"/>
      <c r="P244" s="190"/>
      <c r="Q244" s="190"/>
      <c r="R244" s="190"/>
      <c r="S244" s="190"/>
      <c r="T244" s="57"/>
      <c r="U244" s="401"/>
      <c r="V244" s="401"/>
      <c r="W244" s="401"/>
      <c r="X244" s="401"/>
      <c r="Y244" s="402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</row>
    <row r="245" spans="1:39" ht="15.75" customHeight="1" outlineLevel="1" x14ac:dyDescent="0.2">
      <c r="A245" s="491" t="s">
        <v>417</v>
      </c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20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</row>
    <row r="246" spans="1:39" ht="15.75" customHeight="1" outlineLevel="1" x14ac:dyDescent="0.2">
      <c r="A246" s="411" t="s">
        <v>76</v>
      </c>
      <c r="B246" s="191" t="s">
        <v>24</v>
      </c>
      <c r="C246" s="190"/>
      <c r="D246" s="191" t="s">
        <v>0</v>
      </c>
      <c r="E246" s="190"/>
      <c r="F246" s="190"/>
      <c r="G246" s="190"/>
      <c r="H246" s="190"/>
      <c r="I246" s="190"/>
      <c r="J246" s="190"/>
      <c r="K246" s="190"/>
      <c r="L246" s="189" t="s">
        <v>76</v>
      </c>
      <c r="M246" s="190"/>
      <c r="N246" s="190"/>
      <c r="O246" s="190"/>
      <c r="P246" s="191" t="s">
        <v>24</v>
      </c>
      <c r="Q246" s="190"/>
      <c r="R246" s="191" t="s">
        <v>0</v>
      </c>
      <c r="S246" s="190"/>
      <c r="T246" s="190"/>
      <c r="U246" s="190"/>
      <c r="V246" s="190"/>
      <c r="W246" s="190"/>
      <c r="X246" s="190"/>
      <c r="Y246" s="20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</row>
    <row r="247" spans="1:39" ht="15.75" customHeight="1" outlineLevel="1" x14ac:dyDescent="0.2">
      <c r="A247" s="198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20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</row>
    <row r="248" spans="1:39" ht="15.75" customHeight="1" outlineLevel="1" x14ac:dyDescent="0.2">
      <c r="A248" s="316" t="s">
        <v>418</v>
      </c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492" t="s">
        <v>419</v>
      </c>
      <c r="M248" s="493"/>
      <c r="N248" s="493"/>
      <c r="O248" s="493"/>
      <c r="P248" s="493"/>
      <c r="Q248" s="493"/>
      <c r="R248" s="493"/>
      <c r="S248" s="493"/>
      <c r="T248" s="493"/>
      <c r="U248" s="493"/>
      <c r="V248" s="493"/>
      <c r="W248" s="493"/>
      <c r="X248" s="493"/>
      <c r="Y248" s="494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</row>
    <row r="249" spans="1:39" ht="29.25" customHeight="1" outlineLevel="1" x14ac:dyDescent="0.2">
      <c r="A249" s="49" t="s">
        <v>420</v>
      </c>
      <c r="B249" s="408"/>
      <c r="C249" s="190"/>
      <c r="D249" s="447"/>
      <c r="E249" s="447"/>
      <c r="F249" s="447"/>
      <c r="G249" s="447"/>
      <c r="H249" s="447"/>
      <c r="I249" s="447"/>
      <c r="J249" s="447"/>
      <c r="K249" s="447"/>
      <c r="L249" s="240" t="s">
        <v>421</v>
      </c>
      <c r="M249" s="190"/>
      <c r="N249" s="190"/>
      <c r="O249" s="190"/>
      <c r="P249" s="408"/>
      <c r="Q249" s="190"/>
      <c r="R249" s="401"/>
      <c r="S249" s="401"/>
      <c r="T249" s="401"/>
      <c r="U249" s="401"/>
      <c r="V249" s="401"/>
      <c r="W249" s="401"/>
      <c r="X249" s="401"/>
      <c r="Y249" s="402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</row>
    <row r="250" spans="1:39" ht="27.75" customHeight="1" outlineLevel="1" x14ac:dyDescent="0.2">
      <c r="A250" s="49" t="s">
        <v>422</v>
      </c>
      <c r="B250" s="409"/>
      <c r="C250" s="190"/>
      <c r="D250" s="447"/>
      <c r="E250" s="447"/>
      <c r="F250" s="447"/>
      <c r="G250" s="447"/>
      <c r="H250" s="447"/>
      <c r="I250" s="447"/>
      <c r="J250" s="447"/>
      <c r="K250" s="447"/>
      <c r="L250" s="240" t="s">
        <v>423</v>
      </c>
      <c r="M250" s="190"/>
      <c r="N250" s="190"/>
      <c r="O250" s="190"/>
      <c r="P250" s="409"/>
      <c r="Q250" s="190"/>
      <c r="R250" s="401"/>
      <c r="S250" s="401"/>
      <c r="T250" s="401"/>
      <c r="U250" s="401"/>
      <c r="V250" s="401"/>
      <c r="W250" s="401"/>
      <c r="X250" s="401"/>
      <c r="Y250" s="402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</row>
    <row r="251" spans="1:39" ht="41.25" customHeight="1" outlineLevel="1" x14ac:dyDescent="0.2">
      <c r="A251" s="49" t="s">
        <v>424</v>
      </c>
      <c r="B251" s="409"/>
      <c r="C251" s="190"/>
      <c r="D251" s="446"/>
      <c r="E251" s="446"/>
      <c r="F251" s="446"/>
      <c r="G251" s="446"/>
      <c r="H251" s="446"/>
      <c r="I251" s="446"/>
      <c r="J251" s="446"/>
      <c r="K251" s="446"/>
      <c r="L251" s="240" t="s">
        <v>425</v>
      </c>
      <c r="M251" s="190"/>
      <c r="N251" s="190"/>
      <c r="O251" s="190"/>
      <c r="P251" s="409"/>
      <c r="Q251" s="190"/>
      <c r="R251" s="446"/>
      <c r="S251" s="446"/>
      <c r="T251" s="446"/>
      <c r="U251" s="446"/>
      <c r="V251" s="446"/>
      <c r="W251" s="446"/>
      <c r="X251" s="446"/>
      <c r="Y251" s="448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</row>
    <row r="252" spans="1:39" ht="30" customHeight="1" x14ac:dyDescent="0.2">
      <c r="A252" s="49" t="s">
        <v>426</v>
      </c>
      <c r="B252" s="409"/>
      <c r="C252" s="190"/>
      <c r="D252" s="446"/>
      <c r="E252" s="446"/>
      <c r="F252" s="446"/>
      <c r="G252" s="446"/>
      <c r="H252" s="446"/>
      <c r="I252" s="446"/>
      <c r="J252" s="446"/>
      <c r="K252" s="446"/>
      <c r="L252" s="240" t="s">
        <v>427</v>
      </c>
      <c r="M252" s="190"/>
      <c r="N252" s="190"/>
      <c r="O252" s="190"/>
      <c r="P252" s="409"/>
      <c r="Q252" s="190"/>
      <c r="R252" s="446"/>
      <c r="S252" s="446"/>
      <c r="T252" s="446"/>
      <c r="U252" s="446"/>
      <c r="V252" s="446"/>
      <c r="W252" s="446"/>
      <c r="X252" s="446"/>
      <c r="Y252" s="448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</row>
    <row r="253" spans="1:39" ht="27" customHeight="1" outlineLevel="1" thickBot="1" x14ac:dyDescent="0.25">
      <c r="A253" s="85" t="s">
        <v>428</v>
      </c>
      <c r="B253" s="410"/>
      <c r="C253" s="293"/>
      <c r="D253" s="422"/>
      <c r="E253" s="293"/>
      <c r="F253" s="293"/>
      <c r="G253" s="293"/>
      <c r="H253" s="293"/>
      <c r="I253" s="293"/>
      <c r="J253" s="293"/>
      <c r="K253" s="293"/>
      <c r="L253" s="299" t="s">
        <v>429</v>
      </c>
      <c r="M253" s="293"/>
      <c r="N253" s="293"/>
      <c r="O253" s="293"/>
      <c r="P253" s="410"/>
      <c r="Q253" s="293"/>
      <c r="R253" s="292"/>
      <c r="S253" s="293"/>
      <c r="T253" s="293"/>
      <c r="U253" s="293"/>
      <c r="V253" s="293"/>
      <c r="W253" s="293"/>
      <c r="X253" s="293"/>
      <c r="Y253" s="294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</row>
    <row r="254" spans="1:39" ht="15.75" customHeight="1" outlineLevel="1" x14ac:dyDescent="0.2">
      <c r="A254" s="407" t="s">
        <v>430</v>
      </c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2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</row>
    <row r="255" spans="1:39" ht="15.75" customHeight="1" outlineLevel="1" x14ac:dyDescent="0.2">
      <c r="A255" s="411" t="s">
        <v>76</v>
      </c>
      <c r="B255" s="191" t="s">
        <v>253</v>
      </c>
      <c r="C255" s="190"/>
      <c r="D255" s="190"/>
      <c r="E255" s="191" t="s">
        <v>0</v>
      </c>
      <c r="F255" s="190"/>
      <c r="G255" s="190"/>
      <c r="H255" s="190"/>
      <c r="I255" s="190"/>
      <c r="J255" s="190"/>
      <c r="K255" s="190"/>
      <c r="L255" s="189" t="s">
        <v>76</v>
      </c>
      <c r="M255" s="190"/>
      <c r="N255" s="190"/>
      <c r="O255" s="190"/>
      <c r="P255" s="190"/>
      <c r="Q255" s="191" t="s">
        <v>253</v>
      </c>
      <c r="R255" s="190"/>
      <c r="S255" s="190"/>
      <c r="T255" s="191" t="s">
        <v>0</v>
      </c>
      <c r="U255" s="190"/>
      <c r="V255" s="190"/>
      <c r="W255" s="190"/>
      <c r="X255" s="190"/>
      <c r="Y255" s="20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</row>
    <row r="256" spans="1:39" ht="15.75" customHeight="1" outlineLevel="1" x14ac:dyDescent="0.2">
      <c r="A256" s="198"/>
      <c r="B256" s="64" t="s">
        <v>22</v>
      </c>
      <c r="C256" s="64" t="s">
        <v>23</v>
      </c>
      <c r="D256" s="64" t="s">
        <v>24</v>
      </c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64" t="s">
        <v>22</v>
      </c>
      <c r="R256" s="64" t="s">
        <v>23</v>
      </c>
      <c r="S256" s="64" t="s">
        <v>24</v>
      </c>
      <c r="T256" s="190"/>
      <c r="U256" s="190"/>
      <c r="V256" s="190"/>
      <c r="W256" s="190"/>
      <c r="X256" s="190"/>
      <c r="Y256" s="20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</row>
    <row r="257" spans="1:39" ht="15.75" customHeight="1" outlineLevel="1" x14ac:dyDescent="0.2">
      <c r="A257" s="316" t="s">
        <v>431</v>
      </c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20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</row>
    <row r="258" spans="1:39" s="91" customFormat="1" ht="14.25" customHeight="1" outlineLevel="1" x14ac:dyDescent="0.2">
      <c r="A258" s="94" t="s">
        <v>520</v>
      </c>
      <c r="B258" s="95"/>
      <c r="C258" s="95"/>
      <c r="D258" s="87"/>
      <c r="E258" s="405"/>
      <c r="F258" s="406"/>
      <c r="G258" s="406"/>
      <c r="H258" s="406"/>
      <c r="I258" s="406"/>
      <c r="J258" s="406"/>
      <c r="K258" s="406"/>
      <c r="L258" s="453" t="s">
        <v>432</v>
      </c>
      <c r="M258" s="190"/>
      <c r="N258" s="190"/>
      <c r="O258" s="190"/>
      <c r="P258" s="190"/>
      <c r="Q258" s="92"/>
      <c r="R258" s="89"/>
      <c r="S258" s="87"/>
      <c r="T258" s="405"/>
      <c r="U258" s="406"/>
      <c r="V258" s="406"/>
      <c r="W258" s="406"/>
      <c r="X258" s="406"/>
      <c r="Y258" s="455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</row>
    <row r="259" spans="1:39" s="91" customFormat="1" ht="14.25" customHeight="1" outlineLevel="1" x14ac:dyDescent="0.2">
      <c r="A259" s="86" t="s">
        <v>521</v>
      </c>
      <c r="B259" s="88"/>
      <c r="C259" s="88"/>
      <c r="D259" s="87"/>
      <c r="E259" s="405"/>
      <c r="F259" s="406"/>
      <c r="G259" s="406"/>
      <c r="H259" s="406"/>
      <c r="I259" s="406"/>
      <c r="J259" s="406"/>
      <c r="K259" s="406"/>
      <c r="L259" s="454" t="s">
        <v>500</v>
      </c>
      <c r="M259" s="406"/>
      <c r="N259" s="406"/>
      <c r="O259" s="406"/>
      <c r="P259" s="406"/>
      <c r="Q259" s="88"/>
      <c r="R259" s="89"/>
      <c r="S259" s="87"/>
      <c r="T259" s="405"/>
      <c r="U259" s="406"/>
      <c r="V259" s="406"/>
      <c r="W259" s="406"/>
      <c r="X259" s="406"/>
      <c r="Y259" s="455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</row>
    <row r="260" spans="1:39" s="91" customFormat="1" ht="14.25" customHeight="1" outlineLevel="1" x14ac:dyDescent="0.2">
      <c r="A260" s="86" t="s">
        <v>522</v>
      </c>
      <c r="B260" s="88"/>
      <c r="C260" s="88"/>
      <c r="D260" s="87"/>
      <c r="E260" s="405"/>
      <c r="F260" s="406"/>
      <c r="G260" s="406"/>
      <c r="H260" s="406"/>
      <c r="I260" s="406"/>
      <c r="J260" s="406"/>
      <c r="K260" s="406"/>
      <c r="L260" s="454" t="s">
        <v>501</v>
      </c>
      <c r="M260" s="406"/>
      <c r="N260" s="406"/>
      <c r="O260" s="406"/>
      <c r="P260" s="406"/>
      <c r="Q260" s="92"/>
      <c r="R260" s="89"/>
      <c r="S260" s="87"/>
      <c r="T260" s="405"/>
      <c r="U260" s="406"/>
      <c r="V260" s="406"/>
      <c r="W260" s="406"/>
      <c r="X260" s="406"/>
      <c r="Y260" s="455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</row>
    <row r="261" spans="1:39" s="91" customFormat="1" ht="26.25" customHeight="1" outlineLevel="1" x14ac:dyDescent="0.2">
      <c r="A261" s="86" t="s">
        <v>523</v>
      </c>
      <c r="B261" s="88"/>
      <c r="C261" s="88"/>
      <c r="D261" s="87"/>
      <c r="E261" s="456"/>
      <c r="F261" s="457"/>
      <c r="G261" s="457"/>
      <c r="H261" s="457"/>
      <c r="I261" s="457"/>
      <c r="J261" s="457"/>
      <c r="K261" s="487"/>
      <c r="L261" s="431" t="s">
        <v>502</v>
      </c>
      <c r="M261" s="488"/>
      <c r="N261" s="488"/>
      <c r="O261" s="488"/>
      <c r="P261" s="488"/>
      <c r="Q261" s="92"/>
      <c r="R261" s="89"/>
      <c r="S261" s="87"/>
      <c r="T261" s="456"/>
      <c r="U261" s="457"/>
      <c r="V261" s="457"/>
      <c r="W261" s="457"/>
      <c r="X261" s="457"/>
      <c r="Y261" s="458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</row>
    <row r="262" spans="1:39" s="91" customFormat="1" ht="26.25" customHeight="1" outlineLevel="1" x14ac:dyDescent="0.2">
      <c r="A262" s="81" t="s">
        <v>486</v>
      </c>
      <c r="B262" s="93"/>
      <c r="C262" s="93"/>
      <c r="D262" s="87"/>
      <c r="E262" s="405"/>
      <c r="F262" s="406"/>
      <c r="G262" s="406"/>
      <c r="H262" s="406"/>
      <c r="I262" s="406"/>
      <c r="J262" s="406"/>
      <c r="K262" s="406"/>
      <c r="L262" s="454" t="s">
        <v>487</v>
      </c>
      <c r="M262" s="406"/>
      <c r="N262" s="406"/>
      <c r="O262" s="406"/>
      <c r="P262" s="406"/>
      <c r="Q262" s="88"/>
      <c r="R262" s="89"/>
      <c r="S262" s="87"/>
      <c r="T262" s="456"/>
      <c r="U262" s="457"/>
      <c r="V262" s="457"/>
      <c r="W262" s="457"/>
      <c r="X262" s="457"/>
      <c r="Y262" s="458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</row>
    <row r="263" spans="1:39" s="91" customFormat="1" ht="14.25" customHeight="1" outlineLevel="1" x14ac:dyDescent="0.2">
      <c r="A263" s="86" t="s">
        <v>488</v>
      </c>
      <c r="B263" s="88"/>
      <c r="C263" s="88"/>
      <c r="D263" s="87"/>
      <c r="E263" s="405"/>
      <c r="F263" s="406"/>
      <c r="G263" s="406"/>
      <c r="H263" s="406"/>
      <c r="I263" s="406"/>
      <c r="J263" s="406"/>
      <c r="K263" s="406"/>
      <c r="L263" s="470" t="s">
        <v>433</v>
      </c>
      <c r="M263" s="406"/>
      <c r="N263" s="406"/>
      <c r="O263" s="406"/>
      <c r="P263" s="406"/>
      <c r="Q263" s="88"/>
      <c r="R263" s="88"/>
      <c r="S263" s="87"/>
      <c r="T263" s="456"/>
      <c r="U263" s="457"/>
      <c r="V263" s="457"/>
      <c r="W263" s="457"/>
      <c r="X263" s="457"/>
      <c r="Y263" s="458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</row>
    <row r="264" spans="1:39" s="91" customFormat="1" ht="14.25" customHeight="1" outlineLevel="1" x14ac:dyDescent="0.2">
      <c r="A264" s="86" t="s">
        <v>489</v>
      </c>
      <c r="B264" s="88"/>
      <c r="C264" s="88"/>
      <c r="D264" s="87"/>
      <c r="E264" s="405"/>
      <c r="F264" s="406"/>
      <c r="G264" s="406"/>
      <c r="H264" s="406"/>
      <c r="I264" s="406"/>
      <c r="J264" s="406"/>
      <c r="K264" s="406"/>
      <c r="L264" s="454" t="s">
        <v>434</v>
      </c>
      <c r="M264" s="406"/>
      <c r="N264" s="406"/>
      <c r="O264" s="406"/>
      <c r="P264" s="406"/>
      <c r="Q264" s="88"/>
      <c r="R264" s="88"/>
      <c r="S264" s="87"/>
      <c r="T264" s="456"/>
      <c r="U264" s="457"/>
      <c r="V264" s="457"/>
      <c r="W264" s="457"/>
      <c r="X264" s="457"/>
      <c r="Y264" s="458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</row>
    <row r="265" spans="1:39" s="91" customFormat="1" ht="25.5" outlineLevel="1" x14ac:dyDescent="0.2">
      <c r="A265" s="86" t="s">
        <v>490</v>
      </c>
      <c r="B265" s="88"/>
      <c r="C265" s="88"/>
      <c r="D265" s="87"/>
      <c r="E265" s="405"/>
      <c r="F265" s="406"/>
      <c r="G265" s="406"/>
      <c r="H265" s="406"/>
      <c r="I265" s="406"/>
      <c r="J265" s="406"/>
      <c r="K265" s="406"/>
      <c r="L265" s="240" t="s">
        <v>109</v>
      </c>
      <c r="M265" s="190"/>
      <c r="N265" s="190"/>
      <c r="O265" s="190"/>
      <c r="P265" s="190"/>
      <c r="Q265" s="88"/>
      <c r="R265" s="88"/>
      <c r="S265" s="87"/>
      <c r="T265" s="456"/>
      <c r="U265" s="457"/>
      <c r="V265" s="457"/>
      <c r="W265" s="457"/>
      <c r="X265" s="457"/>
      <c r="Y265" s="458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</row>
    <row r="266" spans="1:39" s="91" customFormat="1" ht="15" customHeight="1" outlineLevel="1" x14ac:dyDescent="0.2">
      <c r="A266" s="81" t="s">
        <v>491</v>
      </c>
      <c r="B266" s="93"/>
      <c r="C266" s="93"/>
      <c r="D266" s="87"/>
      <c r="E266" s="405"/>
      <c r="F266" s="406"/>
      <c r="G266" s="406"/>
      <c r="H266" s="406"/>
      <c r="I266" s="406"/>
      <c r="J266" s="406"/>
      <c r="K266" s="406"/>
      <c r="L266" s="454" t="s">
        <v>435</v>
      </c>
      <c r="M266" s="406"/>
      <c r="N266" s="406"/>
      <c r="O266" s="406"/>
      <c r="P266" s="406"/>
      <c r="Q266" s="88"/>
      <c r="R266" s="88"/>
      <c r="S266" s="87"/>
      <c r="T266" s="456"/>
      <c r="U266" s="457"/>
      <c r="V266" s="457"/>
      <c r="W266" s="457"/>
      <c r="X266" s="457"/>
      <c r="Y266" s="458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</row>
    <row r="267" spans="1:39" s="91" customFormat="1" ht="16.5" customHeight="1" outlineLevel="1" x14ac:dyDescent="0.2">
      <c r="A267" s="49" t="s">
        <v>492</v>
      </c>
      <c r="B267" s="88"/>
      <c r="C267" s="88"/>
      <c r="D267" s="87"/>
      <c r="E267" s="405"/>
      <c r="F267" s="406"/>
      <c r="G267" s="406"/>
      <c r="H267" s="406"/>
      <c r="I267" s="406"/>
      <c r="J267" s="406"/>
      <c r="K267" s="406"/>
      <c r="L267" s="454" t="s">
        <v>493</v>
      </c>
      <c r="M267" s="406"/>
      <c r="N267" s="406"/>
      <c r="O267" s="406"/>
      <c r="P267" s="406"/>
      <c r="Q267" s="88"/>
      <c r="R267" s="88"/>
      <c r="S267" s="87"/>
      <c r="T267" s="456"/>
      <c r="U267" s="457"/>
      <c r="V267" s="457"/>
      <c r="W267" s="457"/>
      <c r="X267" s="457"/>
      <c r="Y267" s="458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</row>
    <row r="268" spans="1:39" s="91" customFormat="1" ht="13.5" customHeight="1" outlineLevel="1" x14ac:dyDescent="0.2">
      <c r="A268" s="86" t="s">
        <v>494</v>
      </c>
      <c r="B268" s="88"/>
      <c r="C268" s="88"/>
      <c r="D268" s="87"/>
      <c r="E268" s="405"/>
      <c r="F268" s="406"/>
      <c r="G268" s="406"/>
      <c r="H268" s="406"/>
      <c r="I268" s="406"/>
      <c r="J268" s="406"/>
      <c r="K268" s="406"/>
      <c r="L268" s="508"/>
      <c r="M268" s="509"/>
      <c r="N268" s="509"/>
      <c r="O268" s="509"/>
      <c r="P268" s="509"/>
      <c r="Q268" s="509"/>
      <c r="R268" s="509"/>
      <c r="S268" s="509"/>
      <c r="T268" s="509"/>
      <c r="U268" s="509"/>
      <c r="V268" s="509"/>
      <c r="W268" s="509"/>
      <c r="X268" s="509"/>
      <c r="Y268" s="51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</row>
    <row r="269" spans="1:39" s="91" customFormat="1" ht="13.5" customHeight="1" outlineLevel="1" x14ac:dyDescent="0.2">
      <c r="A269" s="49" t="s">
        <v>495</v>
      </c>
      <c r="B269" s="88"/>
      <c r="C269" s="88"/>
      <c r="D269" s="87"/>
      <c r="E269" s="405"/>
      <c r="F269" s="406"/>
      <c r="G269" s="406"/>
      <c r="H269" s="406"/>
      <c r="I269" s="406"/>
      <c r="J269" s="406"/>
      <c r="K269" s="406"/>
      <c r="L269" s="509"/>
      <c r="M269" s="509"/>
      <c r="N269" s="509"/>
      <c r="O269" s="509"/>
      <c r="P269" s="509"/>
      <c r="Q269" s="509"/>
      <c r="R269" s="509"/>
      <c r="S269" s="509"/>
      <c r="T269" s="509"/>
      <c r="U269" s="509"/>
      <c r="V269" s="509"/>
      <c r="W269" s="509"/>
      <c r="X269" s="509"/>
      <c r="Y269" s="51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</row>
    <row r="270" spans="1:39" s="91" customFormat="1" ht="25.5" outlineLevel="1" x14ac:dyDescent="0.2">
      <c r="A270" s="86" t="s">
        <v>496</v>
      </c>
      <c r="B270" s="88"/>
      <c r="C270" s="88"/>
      <c r="D270" s="87"/>
      <c r="E270" s="405"/>
      <c r="F270" s="406"/>
      <c r="G270" s="406"/>
      <c r="H270" s="406"/>
      <c r="I270" s="406"/>
      <c r="J270" s="406"/>
      <c r="K270" s="406"/>
      <c r="L270" s="509"/>
      <c r="M270" s="509"/>
      <c r="N270" s="509"/>
      <c r="O270" s="509"/>
      <c r="P270" s="509"/>
      <c r="Q270" s="509"/>
      <c r="R270" s="509"/>
      <c r="S270" s="509"/>
      <c r="T270" s="509"/>
      <c r="U270" s="509"/>
      <c r="V270" s="509"/>
      <c r="W270" s="509"/>
      <c r="X270" s="509"/>
      <c r="Y270" s="51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</row>
    <row r="271" spans="1:39" s="91" customFormat="1" ht="14.25" customHeight="1" outlineLevel="1" x14ac:dyDescent="0.2">
      <c r="A271" s="81" t="s">
        <v>497</v>
      </c>
      <c r="B271" s="93"/>
      <c r="C271" s="93"/>
      <c r="D271" s="87"/>
      <c r="E271" s="405"/>
      <c r="F271" s="406"/>
      <c r="G271" s="406"/>
      <c r="H271" s="406"/>
      <c r="I271" s="406"/>
      <c r="J271" s="406"/>
      <c r="K271" s="406"/>
      <c r="L271" s="509"/>
      <c r="M271" s="509"/>
      <c r="N271" s="509"/>
      <c r="O271" s="509"/>
      <c r="P271" s="509"/>
      <c r="Q271" s="509"/>
      <c r="R271" s="509"/>
      <c r="S271" s="509"/>
      <c r="T271" s="509"/>
      <c r="U271" s="509"/>
      <c r="V271" s="509"/>
      <c r="W271" s="509"/>
      <c r="X271" s="509"/>
      <c r="Y271" s="51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</row>
    <row r="272" spans="1:39" ht="15.75" customHeight="1" outlineLevel="1" x14ac:dyDescent="0.2">
      <c r="A272" s="49" t="s">
        <v>434</v>
      </c>
      <c r="B272" s="57"/>
      <c r="C272" s="57"/>
      <c r="D272" s="60"/>
      <c r="E272" s="241"/>
      <c r="F272" s="190"/>
      <c r="G272" s="190"/>
      <c r="H272" s="190"/>
      <c r="I272" s="190"/>
      <c r="J272" s="190"/>
      <c r="K272" s="190"/>
      <c r="L272" s="509"/>
      <c r="M272" s="509"/>
      <c r="N272" s="509"/>
      <c r="O272" s="509"/>
      <c r="P272" s="509"/>
      <c r="Q272" s="509"/>
      <c r="R272" s="509"/>
      <c r="S272" s="509"/>
      <c r="T272" s="509"/>
      <c r="U272" s="509"/>
      <c r="V272" s="509"/>
      <c r="W272" s="509"/>
      <c r="X272" s="509"/>
      <c r="Y272" s="510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</row>
    <row r="273" spans="1:39" ht="15.75" customHeight="1" outlineLevel="1" x14ac:dyDescent="0.2">
      <c r="A273" s="49" t="s">
        <v>498</v>
      </c>
      <c r="B273" s="57"/>
      <c r="C273" s="57"/>
      <c r="D273" s="60"/>
      <c r="E273" s="241"/>
      <c r="F273" s="190"/>
      <c r="G273" s="190"/>
      <c r="H273" s="190"/>
      <c r="I273" s="190"/>
      <c r="J273" s="190"/>
      <c r="K273" s="190"/>
      <c r="L273" s="509"/>
      <c r="M273" s="509"/>
      <c r="N273" s="509"/>
      <c r="O273" s="509"/>
      <c r="P273" s="509"/>
      <c r="Q273" s="509"/>
      <c r="R273" s="509"/>
      <c r="S273" s="509"/>
      <c r="T273" s="509"/>
      <c r="U273" s="509"/>
      <c r="V273" s="509"/>
      <c r="W273" s="509"/>
      <c r="X273" s="509"/>
      <c r="Y273" s="510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</row>
    <row r="274" spans="1:39" ht="15.75" customHeight="1" outlineLevel="1" x14ac:dyDescent="0.2">
      <c r="A274" s="49" t="s">
        <v>435</v>
      </c>
      <c r="B274" s="57"/>
      <c r="C274" s="57"/>
      <c r="D274" s="60"/>
      <c r="E274" s="241"/>
      <c r="F274" s="190"/>
      <c r="G274" s="190"/>
      <c r="H274" s="190"/>
      <c r="I274" s="190"/>
      <c r="J274" s="190"/>
      <c r="K274" s="190"/>
      <c r="L274" s="509"/>
      <c r="M274" s="509"/>
      <c r="N274" s="509"/>
      <c r="O274" s="509"/>
      <c r="P274" s="509"/>
      <c r="Q274" s="509"/>
      <c r="R274" s="509"/>
      <c r="S274" s="509"/>
      <c r="T274" s="509"/>
      <c r="U274" s="509"/>
      <c r="V274" s="509"/>
      <c r="W274" s="509"/>
      <c r="X274" s="509"/>
      <c r="Y274" s="510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</row>
    <row r="275" spans="1:39" s="91" customFormat="1" ht="25.5" outlineLevel="1" x14ac:dyDescent="0.2">
      <c r="A275" s="86" t="s">
        <v>499</v>
      </c>
      <c r="B275" s="88"/>
      <c r="C275" s="88"/>
      <c r="D275" s="87"/>
      <c r="E275" s="405"/>
      <c r="F275" s="406"/>
      <c r="G275" s="406"/>
      <c r="H275" s="406"/>
      <c r="I275" s="406"/>
      <c r="J275" s="406"/>
      <c r="K275" s="406"/>
      <c r="L275" s="509"/>
      <c r="M275" s="509"/>
      <c r="N275" s="509"/>
      <c r="O275" s="509"/>
      <c r="P275" s="509"/>
      <c r="Q275" s="509"/>
      <c r="R275" s="509"/>
      <c r="S275" s="509"/>
      <c r="T275" s="509"/>
      <c r="U275" s="509"/>
      <c r="V275" s="509"/>
      <c r="W275" s="509"/>
      <c r="X275" s="509"/>
      <c r="Y275" s="51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</row>
    <row r="276" spans="1:39" ht="17.25" customHeight="1" outlineLevel="1" x14ac:dyDescent="0.2">
      <c r="A276" s="452" t="s">
        <v>82</v>
      </c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305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</row>
    <row r="277" spans="1:39" ht="45" customHeight="1" outlineLevel="1" x14ac:dyDescent="0.2">
      <c r="A277" s="47" t="s">
        <v>83</v>
      </c>
      <c r="B277" s="15"/>
      <c r="C277" s="15"/>
      <c r="D277" s="10"/>
      <c r="E277" s="192"/>
      <c r="F277" s="212"/>
      <c r="G277" s="212"/>
      <c r="H277" s="212"/>
      <c r="I277" s="212"/>
      <c r="J277" s="212"/>
      <c r="K277" s="213"/>
      <c r="L277" s="243" t="s">
        <v>436</v>
      </c>
      <c r="M277" s="212"/>
      <c r="N277" s="212"/>
      <c r="O277" s="212"/>
      <c r="P277" s="213"/>
      <c r="Q277" s="15"/>
      <c r="R277" s="15"/>
      <c r="S277" s="10"/>
      <c r="T277" s="192"/>
      <c r="U277" s="212"/>
      <c r="V277" s="212"/>
      <c r="W277" s="212"/>
      <c r="X277" s="212"/>
      <c r="Y277" s="239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</row>
    <row r="278" spans="1:39" ht="30" customHeight="1" outlineLevel="1" x14ac:dyDescent="0.2">
      <c r="A278" s="28" t="s">
        <v>437</v>
      </c>
      <c r="B278" s="14"/>
      <c r="C278" s="14"/>
      <c r="D278" s="10"/>
      <c r="E278" s="192"/>
      <c r="F278" s="212"/>
      <c r="G278" s="212"/>
      <c r="H278" s="212"/>
      <c r="I278" s="212"/>
      <c r="J278" s="212"/>
      <c r="K278" s="213"/>
      <c r="L278" s="195" t="s">
        <v>438</v>
      </c>
      <c r="M278" s="212"/>
      <c r="N278" s="212"/>
      <c r="O278" s="212"/>
      <c r="P278" s="213"/>
      <c r="Q278" s="14"/>
      <c r="R278" s="14"/>
      <c r="S278" s="10"/>
      <c r="T278" s="192"/>
      <c r="U278" s="212"/>
      <c r="V278" s="212"/>
      <c r="W278" s="212"/>
      <c r="X278" s="212"/>
      <c r="Y278" s="239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</row>
    <row r="279" spans="1:39" ht="34.5" customHeight="1" outlineLevel="1" x14ac:dyDescent="0.2">
      <c r="A279" s="47" t="s">
        <v>84</v>
      </c>
      <c r="B279" s="15"/>
      <c r="C279" s="15"/>
      <c r="D279" s="10"/>
      <c r="E279" s="192"/>
      <c r="F279" s="212"/>
      <c r="G279" s="212"/>
      <c r="H279" s="212"/>
      <c r="I279" s="212"/>
      <c r="J279" s="212"/>
      <c r="K279" s="213"/>
      <c r="L279" s="195" t="s">
        <v>439</v>
      </c>
      <c r="M279" s="212"/>
      <c r="N279" s="212"/>
      <c r="O279" s="212"/>
      <c r="P279" s="213"/>
      <c r="Q279" s="14"/>
      <c r="R279" s="14"/>
      <c r="S279" s="10"/>
      <c r="T279" s="192"/>
      <c r="U279" s="212"/>
      <c r="V279" s="212"/>
      <c r="W279" s="212"/>
      <c r="X279" s="212"/>
      <c r="Y279" s="239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</row>
    <row r="280" spans="1:39" ht="27.75" customHeight="1" outlineLevel="1" x14ac:dyDescent="0.2">
      <c r="A280" s="28" t="s">
        <v>440</v>
      </c>
      <c r="B280" s="14"/>
      <c r="C280" s="14"/>
      <c r="D280" s="10"/>
      <c r="E280" s="192"/>
      <c r="F280" s="212"/>
      <c r="G280" s="212"/>
      <c r="H280" s="212"/>
      <c r="I280" s="212"/>
      <c r="J280" s="212"/>
      <c r="K280" s="213"/>
      <c r="L280" s="419" t="s">
        <v>441</v>
      </c>
      <c r="M280" s="420"/>
      <c r="N280" s="420"/>
      <c r="O280" s="420"/>
      <c r="P280" s="421"/>
      <c r="Q280" s="14"/>
      <c r="R280" s="14"/>
      <c r="S280" s="10"/>
      <c r="T280" s="192"/>
      <c r="U280" s="212"/>
      <c r="V280" s="212"/>
      <c r="W280" s="212"/>
      <c r="X280" s="212"/>
      <c r="Y280" s="239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</row>
    <row r="281" spans="1:39" ht="27" customHeight="1" outlineLevel="1" x14ac:dyDescent="0.2">
      <c r="A281" s="47" t="s">
        <v>442</v>
      </c>
      <c r="B281" s="15"/>
      <c r="C281" s="15"/>
      <c r="D281" s="10"/>
      <c r="E281" s="192"/>
      <c r="F281" s="212"/>
      <c r="G281" s="212"/>
      <c r="H281" s="212"/>
      <c r="I281" s="212"/>
      <c r="J281" s="212"/>
      <c r="K281" s="213"/>
      <c r="L281" s="419" t="s">
        <v>443</v>
      </c>
      <c r="M281" s="420"/>
      <c r="N281" s="420"/>
      <c r="O281" s="420"/>
      <c r="P281" s="421"/>
      <c r="Q281" s="14"/>
      <c r="R281" s="14"/>
      <c r="S281" s="10"/>
      <c r="T281" s="192"/>
      <c r="U281" s="212"/>
      <c r="V281" s="212"/>
      <c r="W281" s="212"/>
      <c r="X281" s="212"/>
      <c r="Y281" s="239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</row>
    <row r="282" spans="1:39" ht="24" customHeight="1" outlineLevel="1" x14ac:dyDescent="0.2">
      <c r="A282" s="28" t="s">
        <v>444</v>
      </c>
      <c r="B282" s="14"/>
      <c r="C282" s="14"/>
      <c r="D282" s="10"/>
      <c r="E282" s="192"/>
      <c r="F282" s="212"/>
      <c r="G282" s="212"/>
      <c r="H282" s="212"/>
      <c r="I282" s="212"/>
      <c r="J282" s="212"/>
      <c r="K282" s="213"/>
      <c r="L282" s="243" t="s">
        <v>86</v>
      </c>
      <c r="M282" s="212"/>
      <c r="N282" s="212"/>
      <c r="O282" s="212"/>
      <c r="P282" s="213"/>
      <c r="Q282" s="15"/>
      <c r="R282" s="15"/>
      <c r="S282" s="10"/>
      <c r="T282" s="192"/>
      <c r="U282" s="212"/>
      <c r="V282" s="212"/>
      <c r="W282" s="212"/>
      <c r="X282" s="212"/>
      <c r="Y282" s="239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</row>
    <row r="283" spans="1:39" ht="27.75" customHeight="1" outlineLevel="1" x14ac:dyDescent="0.2">
      <c r="A283" s="47" t="s">
        <v>85</v>
      </c>
      <c r="B283" s="15"/>
      <c r="C283" s="15"/>
      <c r="D283" s="10"/>
      <c r="E283" s="192"/>
      <c r="F283" s="212"/>
      <c r="G283" s="212"/>
      <c r="H283" s="212"/>
      <c r="I283" s="212"/>
      <c r="J283" s="212"/>
      <c r="K283" s="213"/>
      <c r="L283" s="195" t="s">
        <v>87</v>
      </c>
      <c r="M283" s="212"/>
      <c r="N283" s="212"/>
      <c r="O283" s="212"/>
      <c r="P283" s="213"/>
      <c r="Q283" s="14"/>
      <c r="R283" s="14"/>
      <c r="S283" s="10"/>
      <c r="T283" s="192"/>
      <c r="U283" s="212"/>
      <c r="V283" s="212"/>
      <c r="W283" s="212"/>
      <c r="X283" s="212"/>
      <c r="Y283" s="239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</row>
    <row r="284" spans="1:39" ht="27.75" customHeight="1" outlineLevel="1" x14ac:dyDescent="0.2">
      <c r="A284" s="28" t="s">
        <v>445</v>
      </c>
      <c r="B284" s="14"/>
      <c r="C284" s="14"/>
      <c r="D284" s="10"/>
      <c r="E284" s="192"/>
      <c r="F284" s="212"/>
      <c r="G284" s="212"/>
      <c r="H284" s="212"/>
      <c r="I284" s="212"/>
      <c r="J284" s="212"/>
      <c r="K284" s="213"/>
      <c r="L284" s="195" t="s">
        <v>88</v>
      </c>
      <c r="M284" s="212"/>
      <c r="N284" s="212"/>
      <c r="O284" s="212"/>
      <c r="P284" s="213"/>
      <c r="Q284" s="14"/>
      <c r="R284" s="14"/>
      <c r="S284" s="10"/>
      <c r="T284" s="192"/>
      <c r="U284" s="212"/>
      <c r="V284" s="212"/>
      <c r="W284" s="212"/>
      <c r="X284" s="212"/>
      <c r="Y284" s="239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</row>
    <row r="285" spans="1:39" ht="18.75" customHeight="1" outlineLevel="1" x14ac:dyDescent="0.2">
      <c r="A285" s="47" t="s">
        <v>446</v>
      </c>
      <c r="B285" s="15"/>
      <c r="C285" s="15"/>
      <c r="D285" s="10"/>
      <c r="E285" s="192"/>
      <c r="F285" s="212"/>
      <c r="G285" s="212"/>
      <c r="H285" s="212"/>
      <c r="I285" s="212"/>
      <c r="J285" s="212"/>
      <c r="K285" s="213"/>
      <c r="L285" s="195" t="s">
        <v>89</v>
      </c>
      <c r="M285" s="212"/>
      <c r="N285" s="212"/>
      <c r="O285" s="212"/>
      <c r="P285" s="213"/>
      <c r="Q285" s="14"/>
      <c r="R285" s="14"/>
      <c r="S285" s="10"/>
      <c r="T285" s="192"/>
      <c r="U285" s="212"/>
      <c r="V285" s="212"/>
      <c r="W285" s="212"/>
      <c r="X285" s="212"/>
      <c r="Y285" s="239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</row>
    <row r="286" spans="1:39" ht="15.75" customHeight="1" outlineLevel="1" x14ac:dyDescent="0.2">
      <c r="A286" s="45" t="s">
        <v>447</v>
      </c>
      <c r="B286" s="14"/>
      <c r="C286" s="14"/>
      <c r="D286" s="10"/>
      <c r="E286" s="192"/>
      <c r="F286" s="212"/>
      <c r="G286" s="212"/>
      <c r="H286" s="212"/>
      <c r="I286" s="212"/>
      <c r="J286" s="212"/>
      <c r="K286" s="213"/>
      <c r="L286" s="480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39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</row>
    <row r="287" spans="1:39" ht="18" customHeight="1" outlineLevel="1" x14ac:dyDescent="0.2">
      <c r="A287" s="364" t="s">
        <v>90</v>
      </c>
      <c r="B287" s="485"/>
      <c r="C287" s="485"/>
      <c r="D287" s="485"/>
      <c r="E287" s="485"/>
      <c r="F287" s="485"/>
      <c r="G287" s="485"/>
      <c r="H287" s="485"/>
      <c r="I287" s="485"/>
      <c r="J287" s="485"/>
      <c r="K287" s="485"/>
      <c r="L287" s="485"/>
      <c r="M287" s="485"/>
      <c r="N287" s="485"/>
      <c r="O287" s="485"/>
      <c r="P287" s="485"/>
      <c r="Q287" s="485"/>
      <c r="R287" s="485"/>
      <c r="S287" s="485"/>
      <c r="T287" s="485"/>
      <c r="U287" s="485"/>
      <c r="V287" s="485"/>
      <c r="W287" s="485"/>
      <c r="X287" s="485"/>
      <c r="Y287" s="486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</row>
    <row r="288" spans="1:39" customFormat="1" ht="17.25" customHeight="1" outlineLevel="1" x14ac:dyDescent="0.2">
      <c r="A288" s="111" t="s">
        <v>91</v>
      </c>
      <c r="B288" s="18"/>
      <c r="C288" s="18"/>
      <c r="D288" s="10"/>
      <c r="E288" s="192"/>
      <c r="F288" s="193"/>
      <c r="G288" s="193"/>
      <c r="H288" s="193"/>
      <c r="I288" s="193"/>
      <c r="J288" s="193"/>
      <c r="K288" s="194"/>
      <c r="L288" s="205" t="s">
        <v>524</v>
      </c>
      <c r="M288" s="193"/>
      <c r="N288" s="193"/>
      <c r="O288" s="193"/>
      <c r="P288" s="194"/>
      <c r="Q288" s="18"/>
      <c r="R288" s="18"/>
      <c r="S288" s="10"/>
      <c r="T288" s="192"/>
      <c r="U288" s="193"/>
      <c r="V288" s="193"/>
      <c r="W288" s="193"/>
      <c r="X288" s="193"/>
      <c r="Y288" s="196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</row>
    <row r="289" spans="1:39" customFormat="1" ht="16.5" customHeight="1" outlineLevel="1" x14ac:dyDescent="0.2">
      <c r="A289" s="28" t="s">
        <v>92</v>
      </c>
      <c r="B289" s="16"/>
      <c r="C289" s="16"/>
      <c r="D289" s="10"/>
      <c r="E289" s="192"/>
      <c r="F289" s="193"/>
      <c r="G289" s="193"/>
      <c r="H289" s="193"/>
      <c r="I289" s="193"/>
      <c r="J289" s="193"/>
      <c r="K289" s="194"/>
      <c r="L289" s="195" t="s">
        <v>525</v>
      </c>
      <c r="M289" s="193"/>
      <c r="N289" s="193"/>
      <c r="O289" s="193"/>
      <c r="P289" s="194"/>
      <c r="Q289" s="14"/>
      <c r="R289" s="14"/>
      <c r="S289" s="10"/>
      <c r="T289" s="192"/>
      <c r="U289" s="193"/>
      <c r="V289" s="193"/>
      <c r="W289" s="193"/>
      <c r="X289" s="193"/>
      <c r="Y289" s="196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</row>
    <row r="290" spans="1:39" customFormat="1" ht="16.5" customHeight="1" outlineLevel="1" x14ac:dyDescent="0.2">
      <c r="A290" s="28" t="s">
        <v>93</v>
      </c>
      <c r="B290" s="16"/>
      <c r="C290" s="16"/>
      <c r="D290" s="10"/>
      <c r="E290" s="192"/>
      <c r="F290" s="193"/>
      <c r="G290" s="193"/>
      <c r="H290" s="193"/>
      <c r="I290" s="193"/>
      <c r="J290" s="193"/>
      <c r="K290" s="194"/>
      <c r="L290" s="195" t="s">
        <v>526</v>
      </c>
      <c r="M290" s="193"/>
      <c r="N290" s="193"/>
      <c r="O290" s="193"/>
      <c r="P290" s="194"/>
      <c r="Q290" s="14"/>
      <c r="R290" s="14"/>
      <c r="S290" s="10"/>
      <c r="T290" s="192"/>
      <c r="U290" s="193"/>
      <c r="V290" s="193"/>
      <c r="W290" s="193"/>
      <c r="X290" s="193"/>
      <c r="Y290" s="196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</row>
    <row r="291" spans="1:39" customFormat="1" ht="16.5" customHeight="1" outlineLevel="1" x14ac:dyDescent="0.2">
      <c r="A291" s="28" t="s">
        <v>94</v>
      </c>
      <c r="B291" s="16"/>
      <c r="C291" s="16"/>
      <c r="D291" s="10"/>
      <c r="E291" s="192"/>
      <c r="F291" s="193"/>
      <c r="G291" s="193"/>
      <c r="H291" s="193"/>
      <c r="I291" s="193"/>
      <c r="J291" s="193"/>
      <c r="K291" s="194"/>
      <c r="L291" s="195" t="s">
        <v>527</v>
      </c>
      <c r="M291" s="193"/>
      <c r="N291" s="193"/>
      <c r="O291" s="193"/>
      <c r="P291" s="194"/>
      <c r="Q291" s="14"/>
      <c r="R291" s="14"/>
      <c r="S291" s="10"/>
      <c r="T291" s="192"/>
      <c r="U291" s="193"/>
      <c r="V291" s="193"/>
      <c r="W291" s="193"/>
      <c r="X291" s="193"/>
      <c r="Y291" s="196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</row>
    <row r="292" spans="1:39" customFormat="1" ht="16.5" customHeight="1" outlineLevel="1" x14ac:dyDescent="0.2">
      <c r="A292" s="28" t="s">
        <v>95</v>
      </c>
      <c r="B292" s="16"/>
      <c r="C292" s="16"/>
      <c r="D292" s="10"/>
      <c r="E292" s="192"/>
      <c r="F292" s="193"/>
      <c r="G292" s="193"/>
      <c r="H292" s="193"/>
      <c r="I292" s="193"/>
      <c r="J292" s="193"/>
      <c r="K292" s="194"/>
      <c r="L292" s="195" t="s">
        <v>528</v>
      </c>
      <c r="M292" s="193"/>
      <c r="N292" s="193"/>
      <c r="O292" s="193"/>
      <c r="P292" s="194"/>
      <c r="Q292" s="14"/>
      <c r="R292" s="14"/>
      <c r="S292" s="10"/>
      <c r="T292" s="192"/>
      <c r="U292" s="193"/>
      <c r="V292" s="193"/>
      <c r="W292" s="193"/>
      <c r="X292" s="193"/>
      <c r="Y292" s="196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</row>
    <row r="293" spans="1:39" customFormat="1" ht="27.75" customHeight="1" outlineLevel="1" x14ac:dyDescent="0.2">
      <c r="A293" s="28" t="s">
        <v>96</v>
      </c>
      <c r="B293" s="16"/>
      <c r="C293" s="16"/>
      <c r="D293" s="10"/>
      <c r="E293" s="192"/>
      <c r="F293" s="193"/>
      <c r="G293" s="193"/>
      <c r="H293" s="193"/>
      <c r="I293" s="193"/>
      <c r="J293" s="193"/>
      <c r="K293" s="194"/>
      <c r="L293" s="205" t="s">
        <v>529</v>
      </c>
      <c r="M293" s="193"/>
      <c r="N293" s="193"/>
      <c r="O293" s="193"/>
      <c r="P293" s="194"/>
      <c r="Q293" s="18"/>
      <c r="R293" s="18"/>
      <c r="S293" s="10"/>
      <c r="T293" s="192"/>
      <c r="U293" s="193"/>
      <c r="V293" s="193"/>
      <c r="W293" s="193"/>
      <c r="X293" s="193"/>
      <c r="Y293" s="196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</row>
    <row r="294" spans="1:39" customFormat="1" ht="16.5" customHeight="1" outlineLevel="1" x14ac:dyDescent="0.2">
      <c r="A294" s="111" t="s">
        <v>97</v>
      </c>
      <c r="B294" s="18"/>
      <c r="C294" s="18"/>
      <c r="D294" s="10"/>
      <c r="E294" s="192"/>
      <c r="F294" s="193"/>
      <c r="G294" s="193"/>
      <c r="H294" s="193"/>
      <c r="I294" s="193"/>
      <c r="J294" s="193"/>
      <c r="K294" s="194"/>
      <c r="L294" s="195" t="s">
        <v>448</v>
      </c>
      <c r="M294" s="193"/>
      <c r="N294" s="193"/>
      <c r="O294" s="193"/>
      <c r="P294" s="194"/>
      <c r="Q294" s="14"/>
      <c r="R294" s="14"/>
      <c r="S294" s="10"/>
      <c r="T294" s="192"/>
      <c r="U294" s="193"/>
      <c r="V294" s="193"/>
      <c r="W294" s="193"/>
      <c r="X294" s="193"/>
      <c r="Y294" s="196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</row>
    <row r="295" spans="1:39" customFormat="1" ht="16.5" customHeight="1" outlineLevel="1" x14ac:dyDescent="0.2">
      <c r="A295" s="28" t="s">
        <v>98</v>
      </c>
      <c r="B295" s="16"/>
      <c r="C295" s="16"/>
      <c r="D295" s="10"/>
      <c r="E295" s="192"/>
      <c r="F295" s="193"/>
      <c r="G295" s="193"/>
      <c r="H295" s="193"/>
      <c r="I295" s="193"/>
      <c r="J295" s="193"/>
      <c r="K295" s="194"/>
      <c r="L295" s="195" t="s">
        <v>449</v>
      </c>
      <c r="M295" s="193"/>
      <c r="N295" s="193"/>
      <c r="O295" s="193"/>
      <c r="P295" s="194"/>
      <c r="Q295" s="14"/>
      <c r="R295" s="14"/>
      <c r="S295" s="10"/>
      <c r="T295" s="192"/>
      <c r="U295" s="193"/>
      <c r="V295" s="193"/>
      <c r="W295" s="193"/>
      <c r="X295" s="193"/>
      <c r="Y295" s="196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</row>
    <row r="296" spans="1:39" customFormat="1" ht="16.5" customHeight="1" outlineLevel="1" x14ac:dyDescent="0.2">
      <c r="A296" s="28" t="s">
        <v>99</v>
      </c>
      <c r="B296" s="16"/>
      <c r="C296" s="16"/>
      <c r="D296" s="10"/>
      <c r="E296" s="192"/>
      <c r="F296" s="193"/>
      <c r="G296" s="193"/>
      <c r="H296" s="193"/>
      <c r="I296" s="193"/>
      <c r="J296" s="193"/>
      <c r="K296" s="194"/>
      <c r="L296" s="195" t="s">
        <v>450</v>
      </c>
      <c r="M296" s="193"/>
      <c r="N296" s="193"/>
      <c r="O296" s="193"/>
      <c r="P296" s="194"/>
      <c r="Q296" s="18"/>
      <c r="R296" s="18"/>
      <c r="S296" s="10"/>
      <c r="T296" s="192"/>
      <c r="U296" s="193"/>
      <c r="V296" s="193"/>
      <c r="W296" s="193"/>
      <c r="X296" s="193"/>
      <c r="Y296" s="196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</row>
    <row r="297" spans="1:39" customFormat="1" ht="16.5" customHeight="1" outlineLevel="1" x14ac:dyDescent="0.2">
      <c r="A297" s="28" t="s">
        <v>100</v>
      </c>
      <c r="B297" s="16"/>
      <c r="C297" s="16"/>
      <c r="D297" s="10"/>
      <c r="E297" s="192"/>
      <c r="F297" s="193"/>
      <c r="G297" s="193"/>
      <c r="H297" s="193"/>
      <c r="I297" s="193"/>
      <c r="J297" s="193"/>
      <c r="K297" s="194"/>
      <c r="L297" s="195" t="s">
        <v>530</v>
      </c>
      <c r="M297" s="193"/>
      <c r="N297" s="193"/>
      <c r="O297" s="193"/>
      <c r="P297" s="194"/>
      <c r="Q297" s="14"/>
      <c r="R297" s="14"/>
      <c r="S297" s="10"/>
      <c r="T297" s="192"/>
      <c r="U297" s="193"/>
      <c r="V297" s="193"/>
      <c r="W297" s="193"/>
      <c r="X297" s="193"/>
      <c r="Y297" s="196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</row>
    <row r="298" spans="1:39" customFormat="1" ht="13.5" customHeight="1" outlineLevel="1" x14ac:dyDescent="0.2">
      <c r="A298" s="28" t="s">
        <v>101</v>
      </c>
      <c r="B298" s="16"/>
      <c r="C298" s="16"/>
      <c r="D298" s="10"/>
      <c r="E298" s="192"/>
      <c r="F298" s="193"/>
      <c r="G298" s="193"/>
      <c r="H298" s="193"/>
      <c r="I298" s="193"/>
      <c r="J298" s="193"/>
      <c r="K298" s="194"/>
      <c r="L298" s="205" t="s">
        <v>531</v>
      </c>
      <c r="M298" s="193"/>
      <c r="N298" s="193"/>
      <c r="O298" s="193"/>
      <c r="P298" s="194"/>
      <c r="Q298" s="14"/>
      <c r="R298" s="14"/>
      <c r="S298" s="10"/>
      <c r="T298" s="192"/>
      <c r="U298" s="193"/>
      <c r="V298" s="193"/>
      <c r="W298" s="193"/>
      <c r="X298" s="193"/>
      <c r="Y298" s="196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</row>
    <row r="299" spans="1:39" customFormat="1" ht="15" customHeight="1" outlineLevel="1" thickBot="1" x14ac:dyDescent="0.25">
      <c r="A299" s="44" t="s">
        <v>102</v>
      </c>
      <c r="B299" s="48"/>
      <c r="C299" s="48"/>
      <c r="D299" s="41"/>
      <c r="E299" s="230"/>
      <c r="F299" s="231"/>
      <c r="G299" s="231"/>
      <c r="H299" s="231"/>
      <c r="I299" s="231"/>
      <c r="J299" s="231"/>
      <c r="K299" s="232"/>
      <c r="L299" s="233" t="s">
        <v>532</v>
      </c>
      <c r="M299" s="231"/>
      <c r="N299" s="231"/>
      <c r="O299" s="231"/>
      <c r="P299" s="232"/>
      <c r="Q299" s="103"/>
      <c r="R299" s="103"/>
      <c r="S299" s="41"/>
      <c r="T299" s="230"/>
      <c r="U299" s="231"/>
      <c r="V299" s="231"/>
      <c r="W299" s="231"/>
      <c r="X299" s="231"/>
      <c r="Y299" s="234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</row>
    <row r="300" spans="1:39" ht="15.75" customHeight="1" outlineLevel="1" x14ac:dyDescent="0.2">
      <c r="A300" s="197" t="s">
        <v>76</v>
      </c>
      <c r="B300" s="199" t="s">
        <v>253</v>
      </c>
      <c r="C300" s="200"/>
      <c r="D300" s="200"/>
      <c r="E300" s="199" t="s">
        <v>0</v>
      </c>
      <c r="F300" s="200"/>
      <c r="G300" s="200"/>
      <c r="H300" s="200"/>
      <c r="I300" s="200"/>
      <c r="J300" s="200"/>
      <c r="K300" s="200"/>
      <c r="L300" s="201" t="s">
        <v>76</v>
      </c>
      <c r="M300" s="200"/>
      <c r="N300" s="200"/>
      <c r="O300" s="200"/>
      <c r="P300" s="200"/>
      <c r="Q300" s="199" t="s">
        <v>253</v>
      </c>
      <c r="R300" s="200"/>
      <c r="S300" s="200"/>
      <c r="T300" s="199" t="s">
        <v>0</v>
      </c>
      <c r="U300" s="200"/>
      <c r="V300" s="200"/>
      <c r="W300" s="200"/>
      <c r="X300" s="200"/>
      <c r="Y300" s="202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</row>
    <row r="301" spans="1:39" ht="15.75" customHeight="1" outlineLevel="1" x14ac:dyDescent="0.2">
      <c r="A301" s="198"/>
      <c r="B301" s="64" t="s">
        <v>22</v>
      </c>
      <c r="C301" s="64" t="s">
        <v>23</v>
      </c>
      <c r="D301" s="64" t="s">
        <v>24</v>
      </c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64" t="s">
        <v>22</v>
      </c>
      <c r="R301" s="64" t="s">
        <v>23</v>
      </c>
      <c r="S301" s="64" t="s">
        <v>24</v>
      </c>
      <c r="T301" s="190"/>
      <c r="U301" s="190"/>
      <c r="V301" s="190"/>
      <c r="W301" s="190"/>
      <c r="X301" s="190"/>
      <c r="Y301" s="20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</row>
    <row r="302" spans="1:39" customFormat="1" ht="27" customHeight="1" outlineLevel="1" x14ac:dyDescent="0.2">
      <c r="A302" s="111" t="s">
        <v>533</v>
      </c>
      <c r="B302" s="18"/>
      <c r="C302" s="18"/>
      <c r="D302" s="10"/>
      <c r="E302" s="192"/>
      <c r="F302" s="193"/>
      <c r="G302" s="193"/>
      <c r="H302" s="193"/>
      <c r="I302" s="193"/>
      <c r="J302" s="193"/>
      <c r="K302" s="194"/>
      <c r="L302" s="195" t="s">
        <v>534</v>
      </c>
      <c r="M302" s="193"/>
      <c r="N302" s="193"/>
      <c r="O302" s="193"/>
      <c r="P302" s="194"/>
      <c r="Q302" s="14"/>
      <c r="R302" s="14"/>
      <c r="S302" s="10"/>
      <c r="T302" s="192"/>
      <c r="U302" s="193"/>
      <c r="V302" s="193"/>
      <c r="W302" s="193"/>
      <c r="X302" s="193"/>
      <c r="Y302" s="196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</row>
    <row r="303" spans="1:39" customFormat="1" ht="28.5" customHeight="1" outlineLevel="1" x14ac:dyDescent="0.2">
      <c r="A303" s="28" t="s">
        <v>103</v>
      </c>
      <c r="B303" s="104"/>
      <c r="C303" s="104"/>
      <c r="D303" s="10"/>
      <c r="E303" s="192"/>
      <c r="F303" s="193"/>
      <c r="G303" s="193"/>
      <c r="H303" s="193"/>
      <c r="I303" s="193"/>
      <c r="J303" s="193"/>
      <c r="K303" s="194"/>
      <c r="L303" s="205" t="s">
        <v>535</v>
      </c>
      <c r="M303" s="193"/>
      <c r="N303" s="193"/>
      <c r="O303" s="193"/>
      <c r="P303" s="194"/>
      <c r="Q303" s="14"/>
      <c r="R303" s="14"/>
      <c r="S303" s="10"/>
      <c r="T303" s="192"/>
      <c r="U303" s="193"/>
      <c r="V303" s="193"/>
      <c r="W303" s="193"/>
      <c r="X303" s="193"/>
      <c r="Y303" s="196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</row>
    <row r="304" spans="1:39" customFormat="1" ht="18" customHeight="1" outlineLevel="1" x14ac:dyDescent="0.2">
      <c r="A304" s="28" t="s">
        <v>104</v>
      </c>
      <c r="B304" s="16"/>
      <c r="C304" s="16"/>
      <c r="D304" s="10"/>
      <c r="E304" s="192"/>
      <c r="F304" s="193"/>
      <c r="G304" s="193"/>
      <c r="H304" s="193"/>
      <c r="I304" s="193"/>
      <c r="J304" s="193"/>
      <c r="K304" s="194"/>
      <c r="L304" s="195" t="s">
        <v>536</v>
      </c>
      <c r="M304" s="193"/>
      <c r="N304" s="193"/>
      <c r="O304" s="193"/>
      <c r="P304" s="194"/>
      <c r="Q304" s="14"/>
      <c r="R304" s="14"/>
      <c r="S304" s="10"/>
      <c r="T304" s="192"/>
      <c r="U304" s="193"/>
      <c r="V304" s="193"/>
      <c r="W304" s="193"/>
      <c r="X304" s="193"/>
      <c r="Y304" s="196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</row>
    <row r="305" spans="1:39" customFormat="1" ht="18" customHeight="1" outlineLevel="1" x14ac:dyDescent="0.2">
      <c r="A305" s="28" t="s">
        <v>105</v>
      </c>
      <c r="B305" s="16"/>
      <c r="C305" s="16"/>
      <c r="D305" s="10"/>
      <c r="E305" s="192"/>
      <c r="F305" s="193"/>
      <c r="G305" s="193"/>
      <c r="H305" s="193"/>
      <c r="I305" s="193"/>
      <c r="J305" s="193"/>
      <c r="K305" s="194"/>
      <c r="L305" s="195" t="s">
        <v>537</v>
      </c>
      <c r="M305" s="193"/>
      <c r="N305" s="193"/>
      <c r="O305" s="193"/>
      <c r="P305" s="194"/>
      <c r="Q305" s="14"/>
      <c r="R305" s="14"/>
      <c r="S305" s="10"/>
      <c r="T305" s="192"/>
      <c r="U305" s="193"/>
      <c r="V305" s="193"/>
      <c r="W305" s="193"/>
      <c r="X305" s="193"/>
      <c r="Y305" s="196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</row>
    <row r="306" spans="1:39" customFormat="1" ht="18" customHeight="1" outlineLevel="1" x14ac:dyDescent="0.2">
      <c r="A306" s="28" t="s">
        <v>106</v>
      </c>
      <c r="B306" s="16"/>
      <c r="C306" s="16"/>
      <c r="D306" s="10"/>
      <c r="E306" s="192"/>
      <c r="F306" s="193"/>
      <c r="G306" s="193"/>
      <c r="H306" s="193"/>
      <c r="I306" s="193"/>
      <c r="J306" s="193"/>
      <c r="K306" s="194"/>
      <c r="L306" s="195" t="s">
        <v>538</v>
      </c>
      <c r="M306" s="193"/>
      <c r="N306" s="193"/>
      <c r="O306" s="193"/>
      <c r="P306" s="194"/>
      <c r="Q306" s="18"/>
      <c r="R306" s="18"/>
      <c r="S306" s="10"/>
      <c r="T306" s="192"/>
      <c r="U306" s="193"/>
      <c r="V306" s="193"/>
      <c r="W306" s="193"/>
      <c r="X306" s="193"/>
      <c r="Y306" s="196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</row>
    <row r="307" spans="1:39" customFormat="1" ht="25.5" outlineLevel="1" x14ac:dyDescent="0.2">
      <c r="A307" s="111" t="s">
        <v>539</v>
      </c>
      <c r="B307" s="18"/>
      <c r="C307" s="18"/>
      <c r="D307" s="10"/>
      <c r="E307" s="192"/>
      <c r="F307" s="193"/>
      <c r="G307" s="193"/>
      <c r="H307" s="193"/>
      <c r="I307" s="193"/>
      <c r="J307" s="193"/>
      <c r="K307" s="194"/>
      <c r="L307" s="195" t="s">
        <v>540</v>
      </c>
      <c r="M307" s="193"/>
      <c r="N307" s="193"/>
      <c r="O307" s="193"/>
      <c r="P307" s="194"/>
      <c r="Q307" s="14"/>
      <c r="R307" s="14"/>
      <c r="S307" s="10"/>
      <c r="T307" s="192"/>
      <c r="U307" s="193"/>
      <c r="V307" s="193"/>
      <c r="W307" s="193"/>
      <c r="X307" s="193"/>
      <c r="Y307" s="196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</row>
    <row r="308" spans="1:39" customFormat="1" ht="29.25" customHeight="1" outlineLevel="1" x14ac:dyDescent="0.2">
      <c r="A308" s="28" t="s">
        <v>541</v>
      </c>
      <c r="B308" s="104"/>
      <c r="C308" s="104"/>
      <c r="D308" s="10"/>
      <c r="E308" s="192"/>
      <c r="F308" s="193"/>
      <c r="G308" s="193"/>
      <c r="H308" s="193"/>
      <c r="I308" s="193"/>
      <c r="J308" s="193"/>
      <c r="K308" s="194"/>
      <c r="L308" s="205" t="s">
        <v>542</v>
      </c>
      <c r="M308" s="193"/>
      <c r="N308" s="193"/>
      <c r="O308" s="193"/>
      <c r="P308" s="194"/>
      <c r="Q308" s="14"/>
      <c r="R308" s="14"/>
      <c r="S308" s="10"/>
      <c r="T308" s="192"/>
      <c r="U308" s="193"/>
      <c r="V308" s="193"/>
      <c r="W308" s="193"/>
      <c r="X308" s="193"/>
      <c r="Y308" s="196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</row>
    <row r="309" spans="1:39" customFormat="1" ht="18" customHeight="1" outlineLevel="1" x14ac:dyDescent="0.2">
      <c r="A309" s="28" t="s">
        <v>543</v>
      </c>
      <c r="B309" s="16"/>
      <c r="C309" s="16"/>
      <c r="D309" s="10"/>
      <c r="E309" s="192"/>
      <c r="F309" s="193"/>
      <c r="G309" s="193"/>
      <c r="H309" s="193"/>
      <c r="I309" s="193"/>
      <c r="J309" s="193"/>
      <c r="K309" s="194"/>
      <c r="L309" s="195" t="s">
        <v>544</v>
      </c>
      <c r="M309" s="193"/>
      <c r="N309" s="193"/>
      <c r="O309" s="193"/>
      <c r="P309" s="194"/>
      <c r="Q309" s="14"/>
      <c r="R309" s="14"/>
      <c r="S309" s="10"/>
      <c r="T309" s="192"/>
      <c r="U309" s="193"/>
      <c r="V309" s="193"/>
      <c r="W309" s="193"/>
      <c r="X309" s="193"/>
      <c r="Y309" s="196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</row>
    <row r="310" spans="1:39" customFormat="1" ht="18" customHeight="1" outlineLevel="1" x14ac:dyDescent="0.2">
      <c r="A310" s="111" t="s">
        <v>545</v>
      </c>
      <c r="B310" s="18"/>
      <c r="C310" s="18"/>
      <c r="D310" s="10"/>
      <c r="E310" s="192"/>
      <c r="F310" s="193"/>
      <c r="G310" s="193"/>
      <c r="H310" s="193"/>
      <c r="I310" s="193"/>
      <c r="J310" s="193"/>
      <c r="K310" s="194"/>
      <c r="L310" s="195" t="s">
        <v>546</v>
      </c>
      <c r="M310" s="193"/>
      <c r="N310" s="193"/>
      <c r="O310" s="193"/>
      <c r="P310" s="194"/>
      <c r="Q310" s="14"/>
      <c r="R310" s="14"/>
      <c r="S310" s="10"/>
      <c r="T310" s="192"/>
      <c r="U310" s="193"/>
      <c r="V310" s="193"/>
      <c r="W310" s="193"/>
      <c r="X310" s="193"/>
      <c r="Y310" s="196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</row>
    <row r="311" spans="1:39" customFormat="1" ht="18.95" customHeight="1" outlineLevel="1" x14ac:dyDescent="0.2">
      <c r="A311" s="28" t="s">
        <v>547</v>
      </c>
      <c r="B311" s="16"/>
      <c r="C311" s="16"/>
      <c r="D311" s="10"/>
      <c r="E311" s="192"/>
      <c r="F311" s="193"/>
      <c r="G311" s="193"/>
      <c r="H311" s="193"/>
      <c r="I311" s="193"/>
      <c r="J311" s="193"/>
      <c r="K311" s="194"/>
      <c r="L311" s="195" t="s">
        <v>548</v>
      </c>
      <c r="M311" s="193"/>
      <c r="N311" s="193"/>
      <c r="O311" s="193"/>
      <c r="P311" s="194"/>
      <c r="Q311" s="18"/>
      <c r="R311" s="18"/>
      <c r="S311" s="10"/>
      <c r="T311" s="192"/>
      <c r="U311" s="193"/>
      <c r="V311" s="193"/>
      <c r="W311" s="193"/>
      <c r="X311" s="193"/>
      <c r="Y311" s="196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</row>
    <row r="312" spans="1:39" customFormat="1" ht="18.95" customHeight="1" outlineLevel="1" x14ac:dyDescent="0.2">
      <c r="A312" s="28" t="s">
        <v>549</v>
      </c>
      <c r="B312" s="16"/>
      <c r="C312" s="16"/>
      <c r="D312" s="10"/>
      <c r="E312" s="192"/>
      <c r="F312" s="193"/>
      <c r="G312" s="193"/>
      <c r="H312" s="193"/>
      <c r="I312" s="193"/>
      <c r="J312" s="193"/>
      <c r="K312" s="194"/>
      <c r="L312" s="195" t="s">
        <v>550</v>
      </c>
      <c r="M312" s="193"/>
      <c r="N312" s="193"/>
      <c r="O312" s="193"/>
      <c r="P312" s="194"/>
      <c r="Q312" s="14"/>
      <c r="R312" s="14"/>
      <c r="S312" s="10"/>
      <c r="T312" s="192"/>
      <c r="U312" s="193"/>
      <c r="V312" s="193"/>
      <c r="W312" s="193"/>
      <c r="X312" s="193"/>
      <c r="Y312" s="196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</row>
    <row r="313" spans="1:39" customFormat="1" ht="27.75" customHeight="1" outlineLevel="1" x14ac:dyDescent="0.2">
      <c r="A313" s="28" t="s">
        <v>551</v>
      </c>
      <c r="B313" s="16"/>
      <c r="C313" s="16"/>
      <c r="D313" s="10"/>
      <c r="E313" s="192"/>
      <c r="F313" s="193"/>
      <c r="G313" s="193"/>
      <c r="H313" s="193"/>
      <c r="I313" s="193"/>
      <c r="J313" s="193"/>
      <c r="K313" s="194"/>
      <c r="L313" s="205" t="s">
        <v>552</v>
      </c>
      <c r="M313" s="193"/>
      <c r="N313" s="193"/>
      <c r="O313" s="193"/>
      <c r="P313" s="194"/>
      <c r="Q313" s="14"/>
      <c r="R313" s="14"/>
      <c r="S313" s="10"/>
      <c r="T313" s="192"/>
      <c r="U313" s="193"/>
      <c r="V313" s="193"/>
      <c r="W313" s="193"/>
      <c r="X313" s="193"/>
      <c r="Y313" s="196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</row>
    <row r="314" spans="1:39" customFormat="1" ht="18.75" customHeight="1" outlineLevel="1" x14ac:dyDescent="0.2">
      <c r="A314" s="28" t="s">
        <v>553</v>
      </c>
      <c r="B314" s="16"/>
      <c r="C314" s="16"/>
      <c r="D314" s="10"/>
      <c r="E314" s="192"/>
      <c r="F314" s="193"/>
      <c r="G314" s="193"/>
      <c r="H314" s="193"/>
      <c r="I314" s="193"/>
      <c r="J314" s="193"/>
      <c r="K314" s="194"/>
      <c r="L314" s="195" t="s">
        <v>554</v>
      </c>
      <c r="M314" s="193"/>
      <c r="N314" s="193"/>
      <c r="O314" s="193"/>
      <c r="P314" s="194"/>
      <c r="Q314" s="14"/>
      <c r="R314" s="14"/>
      <c r="S314" s="10"/>
      <c r="T314" s="192"/>
      <c r="U314" s="193"/>
      <c r="V314" s="193"/>
      <c r="W314" s="193"/>
      <c r="X314" s="193"/>
      <c r="Y314" s="196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</row>
    <row r="315" spans="1:39" customFormat="1" ht="30.75" customHeight="1" outlineLevel="1" x14ac:dyDescent="0.2">
      <c r="A315" s="111" t="s">
        <v>555</v>
      </c>
      <c r="B315" s="18"/>
      <c r="C315" s="18"/>
      <c r="D315" s="10"/>
      <c r="E315" s="192"/>
      <c r="F315" s="193"/>
      <c r="G315" s="193"/>
      <c r="H315" s="193"/>
      <c r="I315" s="193"/>
      <c r="J315" s="193"/>
      <c r="K315" s="194"/>
      <c r="L315" s="195" t="s">
        <v>556</v>
      </c>
      <c r="M315" s="193"/>
      <c r="N315" s="193"/>
      <c r="O315" s="193"/>
      <c r="P315" s="194"/>
      <c r="Q315" s="14"/>
      <c r="R315" s="14"/>
      <c r="S315" s="10"/>
      <c r="T315" s="192"/>
      <c r="U315" s="193"/>
      <c r="V315" s="193"/>
      <c r="W315" s="193"/>
      <c r="X315" s="193"/>
      <c r="Y315" s="196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</row>
    <row r="316" spans="1:39" customFormat="1" ht="18.95" customHeight="1" outlineLevel="1" x14ac:dyDescent="0.2">
      <c r="A316" s="112" t="s">
        <v>557</v>
      </c>
      <c r="B316" s="16"/>
      <c r="C316" s="16"/>
      <c r="D316" s="10"/>
      <c r="E316" s="192"/>
      <c r="F316" s="193"/>
      <c r="G316" s="193"/>
      <c r="H316" s="193"/>
      <c r="I316" s="193"/>
      <c r="J316" s="193"/>
      <c r="K316" s="194"/>
      <c r="L316" s="195" t="s">
        <v>558</v>
      </c>
      <c r="M316" s="193"/>
      <c r="N316" s="193"/>
      <c r="O316" s="193"/>
      <c r="P316" s="194"/>
      <c r="Q316" s="14"/>
      <c r="R316" s="14"/>
      <c r="S316" s="10"/>
      <c r="T316" s="192"/>
      <c r="U316" s="193"/>
      <c r="V316" s="193"/>
      <c r="W316" s="193"/>
      <c r="X316" s="193"/>
      <c r="Y316" s="196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</row>
    <row r="317" spans="1:39" customFormat="1" ht="18.95" customHeight="1" outlineLevel="1" x14ac:dyDescent="0.2">
      <c r="A317" s="112" t="s">
        <v>559</v>
      </c>
      <c r="B317" s="16"/>
      <c r="C317" s="16"/>
      <c r="D317" s="10"/>
      <c r="E317" s="192"/>
      <c r="F317" s="193"/>
      <c r="G317" s="193"/>
      <c r="H317" s="193"/>
      <c r="I317" s="193"/>
      <c r="J317" s="193"/>
      <c r="K317" s="194"/>
      <c r="L317" s="195" t="s">
        <v>560</v>
      </c>
      <c r="M317" s="193"/>
      <c r="N317" s="193"/>
      <c r="O317" s="193"/>
      <c r="P317" s="194"/>
      <c r="Q317" s="18"/>
      <c r="R317" s="18"/>
      <c r="S317" s="10"/>
      <c r="T317" s="192"/>
      <c r="U317" s="193"/>
      <c r="V317" s="193"/>
      <c r="W317" s="193"/>
      <c r="X317" s="193"/>
      <c r="Y317" s="196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</row>
    <row r="318" spans="1:39" customFormat="1" ht="18.95" customHeight="1" outlineLevel="1" x14ac:dyDescent="0.2">
      <c r="A318" s="112" t="s">
        <v>561</v>
      </c>
      <c r="B318" s="16"/>
      <c r="C318" s="16"/>
      <c r="D318" s="10"/>
      <c r="E318" s="192"/>
      <c r="F318" s="193"/>
      <c r="G318" s="193"/>
      <c r="H318" s="193"/>
      <c r="I318" s="193"/>
      <c r="J318" s="193"/>
      <c r="K318" s="194"/>
      <c r="L318" s="195" t="s">
        <v>562</v>
      </c>
      <c r="M318" s="193"/>
      <c r="N318" s="193"/>
      <c r="O318" s="193"/>
      <c r="P318" s="194"/>
      <c r="Q318" s="14"/>
      <c r="R318" s="14"/>
      <c r="S318" s="10"/>
      <c r="T318" s="192"/>
      <c r="U318" s="193"/>
      <c r="V318" s="193"/>
      <c r="W318" s="193"/>
      <c r="X318" s="193"/>
      <c r="Y318" s="196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</row>
    <row r="319" spans="1:39" customFormat="1" ht="29.25" customHeight="1" outlineLevel="1" x14ac:dyDescent="0.2">
      <c r="A319" s="112" t="s">
        <v>563</v>
      </c>
      <c r="B319" s="16"/>
      <c r="C319" s="16"/>
      <c r="D319" s="10"/>
      <c r="E319" s="192"/>
      <c r="F319" s="193"/>
      <c r="G319" s="193"/>
      <c r="H319" s="193"/>
      <c r="I319" s="193"/>
      <c r="J319" s="193"/>
      <c r="K319" s="194"/>
      <c r="L319" s="205" t="s">
        <v>564</v>
      </c>
      <c r="M319" s="193"/>
      <c r="N319" s="193"/>
      <c r="O319" s="193"/>
      <c r="P319" s="194"/>
      <c r="Q319" s="14"/>
      <c r="R319" s="14"/>
      <c r="S319" s="10"/>
      <c r="T319" s="192"/>
      <c r="U319" s="193"/>
      <c r="V319" s="193"/>
      <c r="W319" s="193"/>
      <c r="X319" s="193"/>
      <c r="Y319" s="196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</row>
    <row r="320" spans="1:39" customFormat="1" ht="25.5" outlineLevel="1" x14ac:dyDescent="0.2">
      <c r="A320" s="111" t="s">
        <v>565</v>
      </c>
      <c r="B320" s="18"/>
      <c r="C320" s="18"/>
      <c r="D320" s="10"/>
      <c r="E320" s="192"/>
      <c r="F320" s="193"/>
      <c r="G320" s="193"/>
      <c r="H320" s="193"/>
      <c r="I320" s="193"/>
      <c r="J320" s="193"/>
      <c r="K320" s="194"/>
      <c r="L320" s="195" t="s">
        <v>566</v>
      </c>
      <c r="M320" s="193"/>
      <c r="N320" s="193"/>
      <c r="O320" s="193"/>
      <c r="P320" s="194"/>
      <c r="Q320" s="14"/>
      <c r="R320" s="14"/>
      <c r="S320" s="10"/>
      <c r="T320" s="192"/>
      <c r="U320" s="193"/>
      <c r="V320" s="193"/>
      <c r="W320" s="193"/>
      <c r="X320" s="193"/>
      <c r="Y320" s="196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</row>
    <row r="321" spans="1:39" customFormat="1" ht="18.95" customHeight="1" outlineLevel="1" x14ac:dyDescent="0.2">
      <c r="A321" s="112" t="s">
        <v>567</v>
      </c>
      <c r="B321" s="16"/>
      <c r="C321" s="16"/>
      <c r="D321" s="10"/>
      <c r="E321" s="192"/>
      <c r="F321" s="193"/>
      <c r="G321" s="193"/>
      <c r="H321" s="193"/>
      <c r="I321" s="193"/>
      <c r="J321" s="193"/>
      <c r="K321" s="194"/>
      <c r="L321" s="195" t="s">
        <v>568</v>
      </c>
      <c r="M321" s="193"/>
      <c r="N321" s="193"/>
      <c r="O321" s="193"/>
      <c r="P321" s="194"/>
      <c r="Q321" s="14"/>
      <c r="R321" s="14"/>
      <c r="S321" s="10"/>
      <c r="T321" s="192"/>
      <c r="U321" s="193"/>
      <c r="V321" s="193"/>
      <c r="W321" s="193"/>
      <c r="X321" s="193"/>
      <c r="Y321" s="196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</row>
    <row r="322" spans="1:39" customFormat="1" ht="18.95" customHeight="1" outlineLevel="1" x14ac:dyDescent="0.2">
      <c r="A322" s="112" t="s">
        <v>569</v>
      </c>
      <c r="B322" s="16"/>
      <c r="C322" s="16"/>
      <c r="D322" s="10"/>
      <c r="E322" s="192"/>
      <c r="F322" s="193"/>
      <c r="G322" s="193"/>
      <c r="H322" s="193"/>
      <c r="I322" s="193"/>
      <c r="J322" s="193"/>
      <c r="K322" s="194"/>
      <c r="L322" s="195" t="s">
        <v>570</v>
      </c>
      <c r="M322" s="193"/>
      <c r="N322" s="193"/>
      <c r="O322" s="193"/>
      <c r="P322" s="194"/>
      <c r="Q322" s="105"/>
      <c r="R322" s="105"/>
      <c r="S322" s="105"/>
      <c r="T322" s="105"/>
      <c r="U322" s="105"/>
      <c r="V322" s="105"/>
      <c r="W322" s="105"/>
      <c r="X322" s="105"/>
      <c r="Y322" s="113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</row>
    <row r="323" spans="1:39" customFormat="1" ht="18.95" customHeight="1" outlineLevel="1" x14ac:dyDescent="0.2">
      <c r="A323" s="112" t="s">
        <v>571</v>
      </c>
      <c r="B323" s="16"/>
      <c r="C323" s="16"/>
      <c r="D323" s="10"/>
      <c r="E323" s="192"/>
      <c r="F323" s="193"/>
      <c r="G323" s="193"/>
      <c r="H323" s="193"/>
      <c r="I323" s="193"/>
      <c r="J323" s="193"/>
      <c r="K323" s="194"/>
      <c r="L323" s="195" t="s">
        <v>572</v>
      </c>
      <c r="M323" s="193"/>
      <c r="N323" s="193"/>
      <c r="O323" s="193"/>
      <c r="P323" s="194"/>
      <c r="Q323" s="114"/>
      <c r="R323" s="114"/>
      <c r="S323" s="114"/>
      <c r="T323" s="114"/>
      <c r="U323" s="114"/>
      <c r="V323" s="114"/>
      <c r="W323" s="114"/>
      <c r="X323" s="114"/>
      <c r="Y323" s="115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</row>
    <row r="324" spans="1:39" customFormat="1" ht="18.95" customHeight="1" outlineLevel="1" x14ac:dyDescent="0.2">
      <c r="A324" s="112" t="s">
        <v>573</v>
      </c>
      <c r="B324" s="16"/>
      <c r="C324" s="16"/>
      <c r="D324" s="10"/>
      <c r="E324" s="192"/>
      <c r="F324" s="193"/>
      <c r="G324" s="193"/>
      <c r="H324" s="193"/>
      <c r="I324" s="193"/>
      <c r="J324" s="193"/>
      <c r="K324" s="194"/>
      <c r="L324" s="106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16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</row>
    <row r="325" spans="1:39" ht="15.75" customHeight="1" outlineLevel="1" x14ac:dyDescent="0.2">
      <c r="A325" s="235" t="s">
        <v>107</v>
      </c>
      <c r="B325" s="236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7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</row>
    <row r="326" spans="1:39" ht="18.95" customHeight="1" outlineLevel="1" x14ac:dyDescent="0.2">
      <c r="A326" s="46" t="s">
        <v>108</v>
      </c>
      <c r="B326" s="18"/>
      <c r="C326" s="18"/>
      <c r="D326" s="10"/>
      <c r="E326" s="192"/>
      <c r="F326" s="212"/>
      <c r="G326" s="212"/>
      <c r="H326" s="212"/>
      <c r="I326" s="212"/>
      <c r="J326" s="212"/>
      <c r="K326" s="212"/>
      <c r="L326" s="238" t="s">
        <v>616</v>
      </c>
      <c r="M326" s="238"/>
      <c r="N326" s="238"/>
      <c r="O326" s="238"/>
      <c r="P326" s="238"/>
      <c r="Q326" s="159"/>
      <c r="R326" s="18"/>
      <c r="S326" s="10"/>
      <c r="T326" s="192"/>
      <c r="U326" s="212"/>
      <c r="V326" s="212"/>
      <c r="W326" s="212"/>
      <c r="X326" s="212"/>
      <c r="Y326" s="239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</row>
    <row r="327" spans="1:39" ht="18.95" customHeight="1" outlineLevel="1" x14ac:dyDescent="0.2">
      <c r="A327" s="156" t="s">
        <v>593</v>
      </c>
      <c r="B327" s="14"/>
      <c r="C327" s="14"/>
      <c r="D327" s="10"/>
      <c r="E327" s="511"/>
      <c r="F327" s="512"/>
      <c r="G327" s="512"/>
      <c r="H327" s="512"/>
      <c r="I327" s="512"/>
      <c r="J327" s="512"/>
      <c r="K327" s="512"/>
      <c r="L327" s="240" t="s">
        <v>617</v>
      </c>
      <c r="M327" s="240"/>
      <c r="N327" s="240"/>
      <c r="O327" s="240"/>
      <c r="P327" s="240"/>
      <c r="Q327" s="141"/>
      <c r="R327" s="14"/>
      <c r="S327" s="10"/>
      <c r="T327" s="192"/>
      <c r="U327" s="212"/>
      <c r="V327" s="212"/>
      <c r="W327" s="212"/>
      <c r="X327" s="212"/>
      <c r="Y327" s="239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</row>
    <row r="328" spans="1:39" ht="18.95" customHeight="1" outlineLevel="1" x14ac:dyDescent="0.2">
      <c r="A328" s="156" t="s">
        <v>594</v>
      </c>
      <c r="B328" s="14"/>
      <c r="C328" s="14"/>
      <c r="D328" s="10"/>
      <c r="E328" s="192"/>
      <c r="F328" s="212"/>
      <c r="G328" s="212"/>
      <c r="H328" s="212"/>
      <c r="I328" s="212"/>
      <c r="J328" s="212"/>
      <c r="K328" s="212"/>
      <c r="L328" s="240" t="s">
        <v>618</v>
      </c>
      <c r="M328" s="240"/>
      <c r="N328" s="240"/>
      <c r="O328" s="240"/>
      <c r="P328" s="240"/>
      <c r="Q328" s="141"/>
      <c r="R328" s="14"/>
      <c r="S328" s="10"/>
      <c r="T328" s="192"/>
      <c r="U328" s="212"/>
      <c r="V328" s="212"/>
      <c r="W328" s="212"/>
      <c r="X328" s="212"/>
      <c r="Y328" s="239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</row>
    <row r="329" spans="1:39" ht="18.95" customHeight="1" outlineLevel="1" x14ac:dyDescent="0.2">
      <c r="A329" s="156" t="s">
        <v>595</v>
      </c>
      <c r="B329" s="14"/>
      <c r="C329" s="14"/>
      <c r="D329" s="10"/>
      <c r="E329" s="192"/>
      <c r="F329" s="212"/>
      <c r="G329" s="212"/>
      <c r="H329" s="212"/>
      <c r="I329" s="212"/>
      <c r="J329" s="212"/>
      <c r="K329" s="212"/>
      <c r="L329" s="238" t="s">
        <v>619</v>
      </c>
      <c r="M329" s="238"/>
      <c r="N329" s="238"/>
      <c r="O329" s="238"/>
      <c r="P329" s="238"/>
      <c r="Q329" s="159"/>
      <c r="R329" s="18"/>
      <c r="S329" s="10"/>
      <c r="T329" s="192"/>
      <c r="U329" s="212"/>
      <c r="V329" s="212"/>
      <c r="W329" s="212"/>
      <c r="X329" s="212"/>
      <c r="Y329" s="239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</row>
    <row r="330" spans="1:39" ht="18.95" customHeight="1" outlineLevel="1" x14ac:dyDescent="0.2">
      <c r="A330" s="156" t="s">
        <v>596</v>
      </c>
      <c r="B330" s="14"/>
      <c r="C330" s="14"/>
      <c r="D330" s="10"/>
      <c r="E330" s="192"/>
      <c r="F330" s="212"/>
      <c r="G330" s="212"/>
      <c r="H330" s="212"/>
      <c r="I330" s="212"/>
      <c r="J330" s="212"/>
      <c r="K330" s="212"/>
      <c r="L330" s="240" t="s">
        <v>620</v>
      </c>
      <c r="M330" s="240"/>
      <c r="N330" s="240"/>
      <c r="O330" s="240"/>
      <c r="P330" s="240"/>
      <c r="Q330" s="141"/>
      <c r="R330" s="14"/>
      <c r="S330" s="10"/>
      <c r="T330" s="192"/>
      <c r="U330" s="212"/>
      <c r="V330" s="212"/>
      <c r="W330" s="212"/>
      <c r="X330" s="212"/>
      <c r="Y330" s="239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</row>
    <row r="331" spans="1:39" ht="18.95" customHeight="1" outlineLevel="1" x14ac:dyDescent="0.2">
      <c r="A331" s="156" t="s">
        <v>597</v>
      </c>
      <c r="B331" s="14"/>
      <c r="C331" s="14"/>
      <c r="D331" s="10"/>
      <c r="E331" s="192"/>
      <c r="F331" s="212"/>
      <c r="G331" s="212"/>
      <c r="H331" s="212"/>
      <c r="I331" s="212"/>
      <c r="J331" s="212"/>
      <c r="K331" s="212"/>
      <c r="L331" s="240" t="s">
        <v>621</v>
      </c>
      <c r="M331" s="240"/>
      <c r="N331" s="240"/>
      <c r="O331" s="240"/>
      <c r="P331" s="240"/>
      <c r="Q331" s="141"/>
      <c r="R331" s="14"/>
      <c r="S331" s="10"/>
      <c r="T331" s="192"/>
      <c r="U331" s="212"/>
      <c r="V331" s="212"/>
      <c r="W331" s="212"/>
      <c r="X331" s="212"/>
      <c r="Y331" s="239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</row>
    <row r="332" spans="1:39" ht="18.95" customHeight="1" outlineLevel="1" x14ac:dyDescent="0.2">
      <c r="A332" s="143" t="s">
        <v>598</v>
      </c>
      <c r="B332" s="63"/>
      <c r="C332" s="63"/>
      <c r="D332" s="42"/>
      <c r="E332" s="259"/>
      <c r="F332" s="260"/>
      <c r="G332" s="260"/>
      <c r="H332" s="260"/>
      <c r="I332" s="260"/>
      <c r="J332" s="260"/>
      <c r="K332" s="260"/>
      <c r="L332" s="240" t="s">
        <v>622</v>
      </c>
      <c r="M332" s="240"/>
      <c r="N332" s="240"/>
      <c r="O332" s="240"/>
      <c r="P332" s="240"/>
      <c r="Q332" s="160"/>
      <c r="R332" s="31"/>
      <c r="S332" s="42"/>
      <c r="T332" s="259"/>
      <c r="U332" s="260"/>
      <c r="V332" s="260"/>
      <c r="W332" s="260"/>
      <c r="X332" s="260"/>
      <c r="Y332" s="305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</row>
    <row r="333" spans="1:39" ht="18.95" customHeight="1" outlineLevel="1" x14ac:dyDescent="0.2">
      <c r="A333" s="164" t="s">
        <v>599</v>
      </c>
      <c r="B333" s="63"/>
      <c r="C333" s="63"/>
      <c r="D333" s="60"/>
      <c r="E333" s="241"/>
      <c r="F333" s="190"/>
      <c r="G333" s="190"/>
      <c r="H333" s="190"/>
      <c r="I333" s="190"/>
      <c r="J333" s="190"/>
      <c r="K333" s="242"/>
      <c r="L333" s="240" t="s">
        <v>623</v>
      </c>
      <c r="M333" s="240"/>
      <c r="N333" s="240"/>
      <c r="O333" s="240"/>
      <c r="P333" s="240"/>
      <c r="Q333" s="141"/>
      <c r="R333" s="14"/>
      <c r="S333" s="60"/>
      <c r="T333" s="241"/>
      <c r="U333" s="190"/>
      <c r="V333" s="190"/>
      <c r="W333" s="190"/>
      <c r="X333" s="190"/>
      <c r="Y333" s="203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</row>
    <row r="334" spans="1:39" ht="18.95" customHeight="1" outlineLevel="1" x14ac:dyDescent="0.2">
      <c r="A334" s="164" t="s">
        <v>600</v>
      </c>
      <c r="B334" s="63"/>
      <c r="C334" s="63"/>
      <c r="D334" s="60"/>
      <c r="E334" s="241"/>
      <c r="F334" s="190"/>
      <c r="G334" s="190"/>
      <c r="H334" s="190"/>
      <c r="I334" s="190"/>
      <c r="J334" s="190"/>
      <c r="K334" s="242"/>
      <c r="L334" s="240" t="s">
        <v>624</v>
      </c>
      <c r="M334" s="240"/>
      <c r="N334" s="240"/>
      <c r="O334" s="240"/>
      <c r="P334" s="240"/>
      <c r="Q334" s="141"/>
      <c r="R334" s="14"/>
      <c r="S334" s="60"/>
      <c r="T334" s="241"/>
      <c r="U334" s="190"/>
      <c r="V334" s="190"/>
      <c r="W334" s="190"/>
      <c r="X334" s="190"/>
      <c r="Y334" s="203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</row>
    <row r="335" spans="1:39" ht="18.95" customHeight="1" outlineLevel="1" x14ac:dyDescent="0.2">
      <c r="A335" s="143" t="s">
        <v>601</v>
      </c>
      <c r="B335" s="63"/>
      <c r="C335" s="63"/>
      <c r="D335" s="60"/>
      <c r="E335" s="241"/>
      <c r="F335" s="190"/>
      <c r="G335" s="190"/>
      <c r="H335" s="190"/>
      <c r="I335" s="190"/>
      <c r="J335" s="190"/>
      <c r="K335" s="242"/>
      <c r="L335" s="238" t="s">
        <v>625</v>
      </c>
      <c r="M335" s="238"/>
      <c r="N335" s="238"/>
      <c r="O335" s="238"/>
      <c r="P335" s="238"/>
      <c r="Q335" s="161"/>
      <c r="R335" s="63"/>
      <c r="S335" s="60"/>
      <c r="T335" s="241"/>
      <c r="U335" s="190"/>
      <c r="V335" s="190"/>
      <c r="W335" s="190"/>
      <c r="X335" s="190"/>
      <c r="Y335" s="203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</row>
    <row r="336" spans="1:39" ht="20.25" customHeight="1" outlineLevel="1" x14ac:dyDescent="0.2">
      <c r="A336" s="164" t="s">
        <v>602</v>
      </c>
      <c r="B336" s="63"/>
      <c r="C336" s="63"/>
      <c r="D336" s="60"/>
      <c r="E336" s="241"/>
      <c r="F336" s="190"/>
      <c r="G336" s="190"/>
      <c r="H336" s="190"/>
      <c r="I336" s="190"/>
      <c r="J336" s="190"/>
      <c r="K336" s="242"/>
      <c r="L336" s="240" t="s">
        <v>626</v>
      </c>
      <c r="M336" s="240"/>
      <c r="N336" s="240"/>
      <c r="O336" s="240"/>
      <c r="P336" s="240"/>
      <c r="Q336" s="141"/>
      <c r="R336" s="14"/>
      <c r="S336" s="60"/>
      <c r="T336" s="241"/>
      <c r="U336" s="190"/>
      <c r="V336" s="190"/>
      <c r="W336" s="190"/>
      <c r="X336" s="190"/>
      <c r="Y336" s="203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</row>
    <row r="337" spans="1:39" ht="20.25" customHeight="1" outlineLevel="1" x14ac:dyDescent="0.2">
      <c r="A337" s="164" t="s">
        <v>603</v>
      </c>
      <c r="B337" s="63"/>
      <c r="C337" s="63"/>
      <c r="D337" s="60"/>
      <c r="E337" s="241"/>
      <c r="F337" s="190"/>
      <c r="G337" s="190"/>
      <c r="H337" s="190"/>
      <c r="I337" s="190"/>
      <c r="J337" s="190"/>
      <c r="K337" s="242"/>
      <c r="L337" s="240" t="s">
        <v>627</v>
      </c>
      <c r="M337" s="240"/>
      <c r="N337" s="240"/>
      <c r="O337" s="240"/>
      <c r="P337" s="240"/>
      <c r="Q337" s="141"/>
      <c r="R337" s="14"/>
      <c r="S337" s="60"/>
      <c r="T337" s="241"/>
      <c r="U337" s="190"/>
      <c r="V337" s="190"/>
      <c r="W337" s="190"/>
      <c r="X337" s="190"/>
      <c r="Y337" s="203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</row>
    <row r="338" spans="1:39" ht="18.95" customHeight="1" outlineLevel="1" x14ac:dyDescent="0.2">
      <c r="A338" s="164" t="s">
        <v>604</v>
      </c>
      <c r="B338" s="63"/>
      <c r="C338" s="63"/>
      <c r="D338" s="60"/>
      <c r="E338" s="241"/>
      <c r="F338" s="190"/>
      <c r="G338" s="190"/>
      <c r="H338" s="190"/>
      <c r="I338" s="190"/>
      <c r="J338" s="190"/>
      <c r="K338" s="242"/>
      <c r="L338" s="238" t="s">
        <v>628</v>
      </c>
      <c r="M338" s="238"/>
      <c r="N338" s="238"/>
      <c r="O338" s="238"/>
      <c r="P338" s="238"/>
      <c r="Q338" s="161"/>
      <c r="R338" s="63"/>
      <c r="S338" s="60"/>
      <c r="T338" s="241"/>
      <c r="U338" s="190"/>
      <c r="V338" s="190"/>
      <c r="W338" s="190"/>
      <c r="X338" s="190"/>
      <c r="Y338" s="203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</row>
    <row r="339" spans="1:39" ht="23.25" customHeight="1" outlineLevel="1" x14ac:dyDescent="0.2">
      <c r="A339" s="157" t="s">
        <v>605</v>
      </c>
      <c r="B339" s="57"/>
      <c r="C339" s="57"/>
      <c r="D339" s="60"/>
      <c r="E339" s="241"/>
      <c r="F339" s="190"/>
      <c r="G339" s="190"/>
      <c r="H339" s="190"/>
      <c r="I339" s="190"/>
      <c r="J339" s="190"/>
      <c r="K339" s="242"/>
      <c r="L339" s="240" t="s">
        <v>629</v>
      </c>
      <c r="M339" s="240"/>
      <c r="N339" s="240"/>
      <c r="O339" s="240"/>
      <c r="P339" s="240"/>
      <c r="Q339" s="162"/>
      <c r="R339" s="57"/>
      <c r="S339" s="60"/>
      <c r="T339" s="241"/>
      <c r="U339" s="190"/>
      <c r="V339" s="190"/>
      <c r="W339" s="190"/>
      <c r="X339" s="190"/>
      <c r="Y339" s="203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</row>
    <row r="340" spans="1:39" ht="23.25" customHeight="1" outlineLevel="1" x14ac:dyDescent="0.2">
      <c r="A340" s="157" t="s">
        <v>606</v>
      </c>
      <c r="B340" s="57"/>
      <c r="C340" s="57"/>
      <c r="D340" s="60"/>
      <c r="E340" s="241"/>
      <c r="F340" s="190"/>
      <c r="G340" s="190"/>
      <c r="H340" s="190"/>
      <c r="I340" s="190"/>
      <c r="J340" s="190"/>
      <c r="K340" s="242"/>
      <c r="L340" s="240" t="s">
        <v>630</v>
      </c>
      <c r="M340" s="240"/>
      <c r="N340" s="240"/>
      <c r="O340" s="240"/>
      <c r="P340" s="240"/>
      <c r="Q340" s="162"/>
      <c r="R340" s="57"/>
      <c r="S340" s="60"/>
      <c r="T340" s="241"/>
      <c r="U340" s="190"/>
      <c r="V340" s="190"/>
      <c r="W340" s="190"/>
      <c r="X340" s="190"/>
      <c r="Y340" s="203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</row>
    <row r="341" spans="1:39" ht="18.95" customHeight="1" outlineLevel="1" x14ac:dyDescent="0.2">
      <c r="A341" s="143" t="s">
        <v>607</v>
      </c>
      <c r="B341" s="63"/>
      <c r="C341" s="63"/>
      <c r="D341" s="60"/>
      <c r="E341" s="241"/>
      <c r="F341" s="190"/>
      <c r="G341" s="190"/>
      <c r="H341" s="190"/>
      <c r="I341" s="190"/>
      <c r="J341" s="190"/>
      <c r="K341" s="242"/>
      <c r="L341" s="238" t="s">
        <v>631</v>
      </c>
      <c r="M341" s="238"/>
      <c r="N341" s="238"/>
      <c r="O341" s="238"/>
      <c r="P341" s="238"/>
      <c r="Q341" s="162"/>
      <c r="R341" s="57"/>
      <c r="S341" s="60"/>
      <c r="T341" s="241"/>
      <c r="U341" s="190"/>
      <c r="V341" s="190"/>
      <c r="W341" s="190"/>
      <c r="X341" s="190"/>
      <c r="Y341" s="203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</row>
    <row r="342" spans="1:39" ht="20.25" customHeight="1" outlineLevel="1" x14ac:dyDescent="0.2">
      <c r="A342" s="157" t="s">
        <v>608</v>
      </c>
      <c r="B342" s="57"/>
      <c r="C342" s="57"/>
      <c r="D342" s="60"/>
      <c r="E342" s="241"/>
      <c r="F342" s="190"/>
      <c r="G342" s="190"/>
      <c r="H342" s="190"/>
      <c r="I342" s="190"/>
      <c r="J342" s="190"/>
      <c r="K342" s="242"/>
      <c r="L342" s="240" t="s">
        <v>632</v>
      </c>
      <c r="M342" s="240"/>
      <c r="N342" s="240"/>
      <c r="O342" s="240"/>
      <c r="P342" s="240"/>
      <c r="Q342" s="162"/>
      <c r="R342" s="57"/>
      <c r="S342" s="60"/>
      <c r="T342" s="241"/>
      <c r="U342" s="190"/>
      <c r="V342" s="190"/>
      <c r="W342" s="190"/>
      <c r="X342" s="190"/>
      <c r="Y342" s="203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</row>
    <row r="343" spans="1:39" ht="20.25" customHeight="1" outlineLevel="1" thickBot="1" x14ac:dyDescent="0.25">
      <c r="A343" s="158" t="s">
        <v>609</v>
      </c>
      <c r="B343" s="76"/>
      <c r="C343" s="76"/>
      <c r="D343" s="75"/>
      <c r="E343" s="292"/>
      <c r="F343" s="293"/>
      <c r="G343" s="293"/>
      <c r="H343" s="293"/>
      <c r="I343" s="293"/>
      <c r="J343" s="293"/>
      <c r="K343" s="298"/>
      <c r="L343" s="299" t="s">
        <v>633</v>
      </c>
      <c r="M343" s="299"/>
      <c r="N343" s="299"/>
      <c r="O343" s="299"/>
      <c r="P343" s="299"/>
      <c r="Q343" s="163"/>
      <c r="R343" s="76"/>
      <c r="S343" s="75"/>
      <c r="T343" s="292"/>
      <c r="U343" s="293"/>
      <c r="V343" s="293"/>
      <c r="W343" s="293"/>
      <c r="X343" s="293"/>
      <c r="Y343" s="294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</row>
    <row r="344" spans="1:39" ht="15.75" customHeight="1" outlineLevel="1" x14ac:dyDescent="0.2">
      <c r="A344" s="197" t="s">
        <v>76</v>
      </c>
      <c r="B344" s="199" t="s">
        <v>253</v>
      </c>
      <c r="C344" s="200"/>
      <c r="D344" s="200"/>
      <c r="E344" s="199" t="s">
        <v>0</v>
      </c>
      <c r="F344" s="200"/>
      <c r="G344" s="200"/>
      <c r="H344" s="200"/>
      <c r="I344" s="200"/>
      <c r="J344" s="200"/>
      <c r="K344" s="200"/>
      <c r="L344" s="201" t="s">
        <v>76</v>
      </c>
      <c r="M344" s="200"/>
      <c r="N344" s="200"/>
      <c r="O344" s="200"/>
      <c r="P344" s="200"/>
      <c r="Q344" s="199" t="s">
        <v>253</v>
      </c>
      <c r="R344" s="200"/>
      <c r="S344" s="200"/>
      <c r="T344" s="199" t="s">
        <v>0</v>
      </c>
      <c r="U344" s="200"/>
      <c r="V344" s="200"/>
      <c r="W344" s="200"/>
      <c r="X344" s="200"/>
      <c r="Y344" s="202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spans="1:39" ht="15.75" customHeight="1" outlineLevel="1" x14ac:dyDescent="0.2">
      <c r="A345" s="198"/>
      <c r="B345" s="64" t="s">
        <v>22</v>
      </c>
      <c r="C345" s="64" t="s">
        <v>23</v>
      </c>
      <c r="D345" s="64" t="s">
        <v>24</v>
      </c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64" t="s">
        <v>22</v>
      </c>
      <c r="R345" s="64" t="s">
        <v>23</v>
      </c>
      <c r="S345" s="64" t="s">
        <v>24</v>
      </c>
      <c r="T345" s="190"/>
      <c r="U345" s="190"/>
      <c r="V345" s="190"/>
      <c r="W345" s="190"/>
      <c r="X345" s="190"/>
      <c r="Y345" s="20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</row>
    <row r="346" spans="1:39" ht="18.95" customHeight="1" outlineLevel="1" x14ac:dyDescent="0.2">
      <c r="A346" s="165" t="s">
        <v>610</v>
      </c>
      <c r="B346" s="166"/>
      <c r="C346" s="166"/>
      <c r="D346" s="83"/>
      <c r="E346" s="295"/>
      <c r="F346" s="296"/>
      <c r="G346" s="296"/>
      <c r="H346" s="296"/>
      <c r="I346" s="296"/>
      <c r="J346" s="296"/>
      <c r="K346" s="300"/>
      <c r="L346" s="301" t="s">
        <v>634</v>
      </c>
      <c r="M346" s="301"/>
      <c r="N346" s="301"/>
      <c r="O346" s="301"/>
      <c r="P346" s="301"/>
      <c r="Q346" s="167"/>
      <c r="R346" s="166"/>
      <c r="S346" s="83"/>
      <c r="T346" s="295"/>
      <c r="U346" s="296"/>
      <c r="V346" s="296"/>
      <c r="W346" s="296"/>
      <c r="X346" s="296"/>
      <c r="Y346" s="297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</row>
    <row r="347" spans="1:39" ht="18.95" customHeight="1" outlineLevel="1" x14ac:dyDescent="0.2">
      <c r="A347" s="157" t="s">
        <v>611</v>
      </c>
      <c r="B347" s="57"/>
      <c r="C347" s="57"/>
      <c r="D347" s="60"/>
      <c r="E347" s="241"/>
      <c r="F347" s="190"/>
      <c r="G347" s="190"/>
      <c r="H347" s="190"/>
      <c r="I347" s="190"/>
      <c r="J347" s="190"/>
      <c r="K347" s="242"/>
      <c r="L347" s="240" t="s">
        <v>635</v>
      </c>
      <c r="M347" s="240"/>
      <c r="N347" s="240"/>
      <c r="O347" s="240"/>
      <c r="P347" s="240"/>
      <c r="Q347" s="162"/>
      <c r="R347" s="57"/>
      <c r="S347" s="60"/>
      <c r="T347" s="241"/>
      <c r="U347" s="190"/>
      <c r="V347" s="190"/>
      <c r="W347" s="190"/>
      <c r="X347" s="190"/>
      <c r="Y347" s="203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</row>
    <row r="348" spans="1:39" ht="18.95" customHeight="1" outlineLevel="1" x14ac:dyDescent="0.2">
      <c r="A348" s="157" t="s">
        <v>612</v>
      </c>
      <c r="B348" s="57"/>
      <c r="C348" s="57"/>
      <c r="D348" s="60"/>
      <c r="E348" s="241"/>
      <c r="F348" s="190"/>
      <c r="G348" s="190"/>
      <c r="H348" s="190"/>
      <c r="I348" s="190"/>
      <c r="J348" s="190"/>
      <c r="K348" s="242"/>
      <c r="L348" s="240" t="s">
        <v>636</v>
      </c>
      <c r="M348" s="240"/>
      <c r="N348" s="240"/>
      <c r="O348" s="240"/>
      <c r="P348" s="240"/>
      <c r="Q348" s="162"/>
      <c r="R348" s="57"/>
      <c r="S348" s="60"/>
      <c r="T348" s="241"/>
      <c r="U348" s="190"/>
      <c r="V348" s="190"/>
      <c r="W348" s="190"/>
      <c r="X348" s="190"/>
      <c r="Y348" s="203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</row>
    <row r="349" spans="1:39" ht="18.95" customHeight="1" outlineLevel="1" x14ac:dyDescent="0.2">
      <c r="A349" s="157" t="s">
        <v>613</v>
      </c>
      <c r="B349" s="57"/>
      <c r="C349" s="57"/>
      <c r="D349" s="60"/>
      <c r="E349" s="241"/>
      <c r="F349" s="190"/>
      <c r="G349" s="190"/>
      <c r="H349" s="190"/>
      <c r="I349" s="190"/>
      <c r="J349" s="190"/>
      <c r="K349" s="242"/>
      <c r="L349" s="238" t="s">
        <v>637</v>
      </c>
      <c r="M349" s="238"/>
      <c r="N349" s="238"/>
      <c r="O349" s="238"/>
      <c r="P349" s="238"/>
      <c r="Q349" s="161"/>
      <c r="R349" s="63"/>
      <c r="S349" s="60"/>
      <c r="T349" s="241"/>
      <c r="U349" s="190"/>
      <c r="V349" s="190"/>
      <c r="W349" s="190"/>
      <c r="X349" s="190"/>
      <c r="Y349" s="203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</row>
    <row r="350" spans="1:39" ht="25.5" customHeight="1" outlineLevel="1" x14ac:dyDescent="0.2">
      <c r="A350" s="157" t="s">
        <v>614</v>
      </c>
      <c r="B350" s="57"/>
      <c r="C350" s="57"/>
      <c r="D350" s="60"/>
      <c r="E350" s="241"/>
      <c r="F350" s="190"/>
      <c r="G350" s="190"/>
      <c r="H350" s="190"/>
      <c r="I350" s="190"/>
      <c r="J350" s="190"/>
      <c r="K350" s="242"/>
      <c r="L350" s="240" t="s">
        <v>638</v>
      </c>
      <c r="M350" s="240"/>
      <c r="N350" s="240"/>
      <c r="O350" s="240"/>
      <c r="P350" s="240"/>
      <c r="Q350" s="162"/>
      <c r="R350" s="57"/>
      <c r="S350" s="60"/>
      <c r="T350" s="241"/>
      <c r="U350" s="190"/>
      <c r="V350" s="190"/>
      <c r="W350" s="190"/>
      <c r="X350" s="190"/>
      <c r="Y350" s="203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</row>
    <row r="351" spans="1:39" ht="25.5" customHeight="1" outlineLevel="1" x14ac:dyDescent="0.2">
      <c r="A351" s="157" t="s">
        <v>615</v>
      </c>
      <c r="B351" s="57"/>
      <c r="C351" s="57"/>
      <c r="D351" s="60"/>
      <c r="E351" s="241"/>
      <c r="F351" s="190"/>
      <c r="G351" s="190"/>
      <c r="H351" s="190"/>
      <c r="I351" s="190"/>
      <c r="J351" s="190"/>
      <c r="K351" s="190"/>
      <c r="L351" s="240" t="s">
        <v>639</v>
      </c>
      <c r="M351" s="240"/>
      <c r="N351" s="240"/>
      <c r="O351" s="240"/>
      <c r="P351" s="240"/>
      <c r="Q351" s="57"/>
      <c r="R351" s="57"/>
      <c r="S351" s="60"/>
      <c r="T351" s="241"/>
      <c r="U351" s="190"/>
      <c r="V351" s="190"/>
      <c r="W351" s="190"/>
      <c r="X351" s="190"/>
      <c r="Y351" s="203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</row>
    <row r="352" spans="1:39" ht="18.95" customHeight="1" outlineLevel="1" x14ac:dyDescent="0.2">
      <c r="A352" s="235" t="s">
        <v>110</v>
      </c>
      <c r="B352" s="236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7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</row>
    <row r="353" spans="1:39" ht="20.25" customHeight="1" outlineLevel="1" x14ac:dyDescent="0.2">
      <c r="A353" s="46" t="s">
        <v>451</v>
      </c>
      <c r="B353" s="18"/>
      <c r="C353" s="18"/>
      <c r="D353" s="3"/>
      <c r="E353" s="192"/>
      <c r="F353" s="212"/>
      <c r="G353" s="212"/>
      <c r="H353" s="212"/>
      <c r="I353" s="212"/>
      <c r="J353" s="212"/>
      <c r="K353" s="213"/>
      <c r="L353" s="243" t="s">
        <v>452</v>
      </c>
      <c r="M353" s="212"/>
      <c r="N353" s="212"/>
      <c r="O353" s="212"/>
      <c r="P353" s="212"/>
      <c r="Q353" s="18"/>
      <c r="R353" s="18"/>
      <c r="S353" s="10"/>
      <c r="T353" s="192"/>
      <c r="U353" s="212"/>
      <c r="V353" s="212"/>
      <c r="W353" s="212"/>
      <c r="X353" s="212"/>
      <c r="Y353" s="239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</row>
    <row r="354" spans="1:39" ht="20.25" customHeight="1" outlineLevel="1" x14ac:dyDescent="0.2">
      <c r="A354" s="28" t="s">
        <v>111</v>
      </c>
      <c r="B354" s="14"/>
      <c r="C354" s="14"/>
      <c r="D354" s="3"/>
      <c r="E354" s="192"/>
      <c r="F354" s="212"/>
      <c r="G354" s="212"/>
      <c r="H354" s="212"/>
      <c r="I354" s="212"/>
      <c r="J354" s="212"/>
      <c r="K354" s="213"/>
      <c r="L354" s="195" t="s">
        <v>120</v>
      </c>
      <c r="M354" s="212"/>
      <c r="N354" s="212"/>
      <c r="O354" s="212"/>
      <c r="P354" s="213"/>
      <c r="Q354" s="16"/>
      <c r="R354" s="16"/>
      <c r="S354" s="10"/>
      <c r="T354" s="192"/>
      <c r="U354" s="212"/>
      <c r="V354" s="212"/>
      <c r="W354" s="212"/>
      <c r="X354" s="212"/>
      <c r="Y354" s="239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</row>
    <row r="355" spans="1:39" ht="20.25" customHeight="1" outlineLevel="1" x14ac:dyDescent="0.2">
      <c r="A355" s="28" t="s">
        <v>112</v>
      </c>
      <c r="B355" s="14"/>
      <c r="C355" s="14"/>
      <c r="D355" s="3"/>
      <c r="E355" s="192"/>
      <c r="F355" s="212"/>
      <c r="G355" s="212"/>
      <c r="H355" s="212"/>
      <c r="I355" s="212"/>
      <c r="J355" s="212"/>
      <c r="K355" s="213"/>
      <c r="L355" s="195" t="s">
        <v>121</v>
      </c>
      <c r="M355" s="212"/>
      <c r="N355" s="212"/>
      <c r="O355" s="212"/>
      <c r="P355" s="213"/>
      <c r="Q355" s="16"/>
      <c r="R355" s="16"/>
      <c r="S355" s="10"/>
      <c r="T355" s="192"/>
      <c r="U355" s="212"/>
      <c r="V355" s="212"/>
      <c r="W355" s="212"/>
      <c r="X355" s="212"/>
      <c r="Y355" s="239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</row>
    <row r="356" spans="1:39" ht="20.25" customHeight="1" outlineLevel="1" x14ac:dyDescent="0.2">
      <c r="A356" s="28" t="s">
        <v>113</v>
      </c>
      <c r="B356" s="14"/>
      <c r="C356" s="14"/>
      <c r="D356" s="3"/>
      <c r="E356" s="192"/>
      <c r="F356" s="212"/>
      <c r="G356" s="212"/>
      <c r="H356" s="212"/>
      <c r="I356" s="212"/>
      <c r="J356" s="212"/>
      <c r="K356" s="213"/>
      <c r="L356" s="195" t="s">
        <v>122</v>
      </c>
      <c r="M356" s="212"/>
      <c r="N356" s="212"/>
      <c r="O356" s="212"/>
      <c r="P356" s="213"/>
      <c r="Q356" s="16"/>
      <c r="R356" s="16"/>
      <c r="S356" s="10"/>
      <c r="T356" s="192"/>
      <c r="U356" s="212"/>
      <c r="V356" s="212"/>
      <c r="W356" s="212"/>
      <c r="X356" s="212"/>
      <c r="Y356" s="239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</row>
    <row r="357" spans="1:39" ht="20.25" customHeight="1" outlineLevel="1" x14ac:dyDescent="0.2">
      <c r="A357" s="46" t="s">
        <v>453</v>
      </c>
      <c r="B357" s="18"/>
      <c r="C357" s="18"/>
      <c r="D357" s="3"/>
      <c r="E357" s="192"/>
      <c r="F357" s="212"/>
      <c r="G357" s="212"/>
      <c r="H357" s="212"/>
      <c r="I357" s="212"/>
      <c r="J357" s="212"/>
      <c r="K357" s="213"/>
      <c r="L357" s="243" t="s">
        <v>123</v>
      </c>
      <c r="M357" s="212"/>
      <c r="N357" s="212"/>
      <c r="O357" s="212"/>
      <c r="P357" s="212"/>
      <c r="Q357" s="17"/>
      <c r="R357" s="17"/>
      <c r="S357" s="10"/>
      <c r="T357" s="192"/>
      <c r="U357" s="212"/>
      <c r="V357" s="212"/>
      <c r="W357" s="212"/>
      <c r="X357" s="212"/>
      <c r="Y357" s="239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</row>
    <row r="358" spans="1:39" ht="20.25" customHeight="1" outlineLevel="1" x14ac:dyDescent="0.2">
      <c r="A358" s="28" t="s">
        <v>114</v>
      </c>
      <c r="B358" s="14"/>
      <c r="C358" s="14"/>
      <c r="D358" s="3"/>
      <c r="E358" s="192"/>
      <c r="F358" s="212"/>
      <c r="G358" s="212"/>
      <c r="H358" s="212"/>
      <c r="I358" s="212"/>
      <c r="J358" s="212"/>
      <c r="K358" s="213"/>
      <c r="L358" s="195" t="s">
        <v>124</v>
      </c>
      <c r="M358" s="212"/>
      <c r="N358" s="212"/>
      <c r="O358" s="212"/>
      <c r="P358" s="213"/>
      <c r="Q358" s="16"/>
      <c r="R358" s="16"/>
      <c r="S358" s="10"/>
      <c r="T358" s="192"/>
      <c r="U358" s="212"/>
      <c r="V358" s="212"/>
      <c r="W358" s="212"/>
      <c r="X358" s="212"/>
      <c r="Y358" s="239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</row>
    <row r="359" spans="1:39" ht="20.25" customHeight="1" outlineLevel="1" x14ac:dyDescent="0.2">
      <c r="A359" s="28" t="s">
        <v>115</v>
      </c>
      <c r="B359" s="14"/>
      <c r="C359" s="14"/>
      <c r="D359" s="3"/>
      <c r="E359" s="192"/>
      <c r="F359" s="212"/>
      <c r="G359" s="212"/>
      <c r="H359" s="212"/>
      <c r="I359" s="212"/>
      <c r="J359" s="212"/>
      <c r="K359" s="213"/>
      <c r="L359" s="195" t="s">
        <v>125</v>
      </c>
      <c r="M359" s="212"/>
      <c r="N359" s="212"/>
      <c r="O359" s="212"/>
      <c r="P359" s="213"/>
      <c r="Q359" s="16"/>
      <c r="R359" s="16"/>
      <c r="S359" s="10"/>
      <c r="T359" s="192"/>
      <c r="U359" s="212"/>
      <c r="V359" s="212"/>
      <c r="W359" s="212"/>
      <c r="X359" s="212"/>
      <c r="Y359" s="239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</row>
    <row r="360" spans="1:39" ht="20.25" customHeight="1" outlineLevel="1" x14ac:dyDescent="0.2">
      <c r="A360" s="28" t="s">
        <v>116</v>
      </c>
      <c r="B360" s="14"/>
      <c r="C360" s="14"/>
      <c r="D360" s="3"/>
      <c r="E360" s="192"/>
      <c r="F360" s="212"/>
      <c r="G360" s="212"/>
      <c r="H360" s="212"/>
      <c r="I360" s="212"/>
      <c r="J360" s="212"/>
      <c r="K360" s="213"/>
      <c r="L360" s="195" t="s">
        <v>126</v>
      </c>
      <c r="M360" s="212"/>
      <c r="N360" s="212"/>
      <c r="O360" s="212"/>
      <c r="P360" s="213"/>
      <c r="Q360" s="98"/>
      <c r="R360" s="98"/>
      <c r="S360" s="42"/>
      <c r="T360" s="259"/>
      <c r="U360" s="260"/>
      <c r="V360" s="260"/>
      <c r="W360" s="260"/>
      <c r="X360" s="260"/>
      <c r="Y360" s="305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</row>
    <row r="361" spans="1:39" ht="20.25" customHeight="1" outlineLevel="1" x14ac:dyDescent="0.2">
      <c r="A361" s="46" t="s">
        <v>454</v>
      </c>
      <c r="B361" s="18"/>
      <c r="C361" s="18"/>
      <c r="D361" s="3"/>
      <c r="E361" s="192"/>
      <c r="F361" s="212"/>
      <c r="G361" s="212"/>
      <c r="H361" s="212"/>
      <c r="I361" s="212"/>
      <c r="J361" s="212"/>
      <c r="K361" s="213"/>
      <c r="L361" s="243" t="s">
        <v>127</v>
      </c>
      <c r="M361" s="212"/>
      <c r="N361" s="212"/>
      <c r="O361" s="212"/>
      <c r="P361" s="212"/>
      <c r="Q361" s="151"/>
      <c r="R361" s="151"/>
      <c r="S361" s="151"/>
      <c r="T361" s="306"/>
      <c r="U361" s="307"/>
      <c r="V361" s="307"/>
      <c r="W361" s="307"/>
      <c r="X361" s="307"/>
      <c r="Y361" s="308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</row>
    <row r="362" spans="1:39" ht="20.25" customHeight="1" outlineLevel="1" x14ac:dyDescent="0.2">
      <c r="A362" s="80" t="s">
        <v>117</v>
      </c>
      <c r="B362" s="31"/>
      <c r="C362" s="31"/>
      <c r="D362" s="97"/>
      <c r="E362" s="259"/>
      <c r="F362" s="260"/>
      <c r="G362" s="260"/>
      <c r="H362" s="260"/>
      <c r="I362" s="260"/>
      <c r="J362" s="260"/>
      <c r="K362" s="261"/>
      <c r="L362" s="315" t="s">
        <v>128</v>
      </c>
      <c r="M362" s="260"/>
      <c r="N362" s="260"/>
      <c r="O362" s="260"/>
      <c r="P362" s="260"/>
      <c r="Q362" s="151"/>
      <c r="R362" s="151"/>
      <c r="S362" s="151"/>
      <c r="T362" s="306"/>
      <c r="U362" s="307"/>
      <c r="V362" s="307"/>
      <c r="W362" s="307"/>
      <c r="X362" s="307"/>
      <c r="Y362" s="308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</row>
    <row r="363" spans="1:39" ht="20.25" customHeight="1" outlineLevel="1" x14ac:dyDescent="0.2">
      <c r="A363" s="49" t="s">
        <v>118</v>
      </c>
      <c r="B363" s="57"/>
      <c r="C363" s="57"/>
      <c r="D363" s="152"/>
      <c r="E363" s="241"/>
      <c r="F363" s="190"/>
      <c r="G363" s="190"/>
      <c r="H363" s="190"/>
      <c r="I363" s="190"/>
      <c r="J363" s="190"/>
      <c r="K363" s="190"/>
      <c r="L363" s="240" t="s">
        <v>129</v>
      </c>
      <c r="M363" s="190"/>
      <c r="N363" s="190"/>
      <c r="O363" s="190"/>
      <c r="P363" s="190"/>
      <c r="Q363" s="151"/>
      <c r="R363" s="151"/>
      <c r="S363" s="151"/>
      <c r="T363" s="306"/>
      <c r="U363" s="307"/>
      <c r="V363" s="307"/>
      <c r="W363" s="307"/>
      <c r="X363" s="307"/>
      <c r="Y363" s="308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</row>
    <row r="364" spans="1:39" ht="20.25" customHeight="1" outlineLevel="1" x14ac:dyDescent="0.2">
      <c r="A364" s="49" t="s">
        <v>119</v>
      </c>
      <c r="B364" s="57"/>
      <c r="C364" s="57"/>
      <c r="D364" s="152"/>
      <c r="E364" s="241"/>
      <c r="F364" s="190"/>
      <c r="G364" s="190"/>
      <c r="H364" s="190"/>
      <c r="I364" s="190"/>
      <c r="J364" s="190"/>
      <c r="K364" s="190"/>
      <c r="L364" s="240" t="s">
        <v>130</v>
      </c>
      <c r="M364" s="190"/>
      <c r="N364" s="190"/>
      <c r="O364" s="190"/>
      <c r="P364" s="190"/>
      <c r="Q364" s="151"/>
      <c r="R364" s="151"/>
      <c r="S364" s="151"/>
      <c r="T364" s="306"/>
      <c r="U364" s="307"/>
      <c r="V364" s="307"/>
      <c r="W364" s="307"/>
      <c r="X364" s="307"/>
      <c r="Y364" s="308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</row>
    <row r="365" spans="1:39" ht="18.95" customHeight="1" outlineLevel="1" x14ac:dyDescent="0.2">
      <c r="A365" s="316" t="s">
        <v>131</v>
      </c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203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</row>
    <row r="366" spans="1:39" ht="20.25" customHeight="1" outlineLevel="1" x14ac:dyDescent="0.2">
      <c r="A366" s="501" t="s">
        <v>455</v>
      </c>
      <c r="B366" s="502"/>
      <c r="C366" s="63"/>
      <c r="D366" s="262"/>
      <c r="E366" s="263"/>
      <c r="F366" s="263"/>
      <c r="G366" s="263"/>
      <c r="H366" s="263"/>
      <c r="I366" s="263"/>
      <c r="J366" s="263"/>
      <c r="K366" s="264"/>
      <c r="L366" s="238" t="s">
        <v>456</v>
      </c>
      <c r="M366" s="238"/>
      <c r="N366" s="238"/>
      <c r="O366" s="238"/>
      <c r="P366" s="238"/>
      <c r="Q366" s="238"/>
      <c r="R366" s="57"/>
      <c r="S366" s="302"/>
      <c r="T366" s="303"/>
      <c r="U366" s="303"/>
      <c r="V366" s="303"/>
      <c r="W366" s="303"/>
      <c r="X366" s="303"/>
      <c r="Y366" s="304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</row>
    <row r="367" spans="1:39" ht="20.25" customHeight="1" outlineLevel="1" x14ac:dyDescent="0.2">
      <c r="A367" s="472" t="s">
        <v>132</v>
      </c>
      <c r="B367" s="240"/>
      <c r="C367" s="118"/>
      <c r="D367" s="265"/>
      <c r="E367" s="266"/>
      <c r="F367" s="266"/>
      <c r="G367" s="266"/>
      <c r="H367" s="266"/>
      <c r="I367" s="266"/>
      <c r="J367" s="266"/>
      <c r="K367" s="267"/>
      <c r="L367" s="240" t="s">
        <v>144</v>
      </c>
      <c r="M367" s="240"/>
      <c r="N367" s="240"/>
      <c r="O367" s="240"/>
      <c r="P367" s="240"/>
      <c r="Q367" s="240"/>
      <c r="R367" s="57"/>
      <c r="S367" s="302"/>
      <c r="T367" s="303"/>
      <c r="U367" s="303"/>
      <c r="V367" s="303"/>
      <c r="W367" s="303"/>
      <c r="X367" s="303"/>
      <c r="Y367" s="304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</row>
    <row r="368" spans="1:39" ht="20.25" customHeight="1" outlineLevel="1" x14ac:dyDescent="0.2">
      <c r="A368" s="472" t="s">
        <v>133</v>
      </c>
      <c r="B368" s="240"/>
      <c r="C368" s="118"/>
      <c r="D368" s="265"/>
      <c r="E368" s="266"/>
      <c r="F368" s="266"/>
      <c r="G368" s="266"/>
      <c r="H368" s="266"/>
      <c r="I368" s="266"/>
      <c r="J368" s="266"/>
      <c r="K368" s="267"/>
      <c r="L368" s="240" t="s">
        <v>145</v>
      </c>
      <c r="M368" s="240"/>
      <c r="N368" s="240"/>
      <c r="O368" s="240"/>
      <c r="P368" s="240"/>
      <c r="Q368" s="240"/>
      <c r="R368" s="57"/>
      <c r="S368" s="302"/>
      <c r="T368" s="303"/>
      <c r="U368" s="303"/>
      <c r="V368" s="303"/>
      <c r="W368" s="303"/>
      <c r="X368" s="303"/>
      <c r="Y368" s="304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</row>
    <row r="369" spans="1:39" ht="20.25" customHeight="1" outlineLevel="1" x14ac:dyDescent="0.2">
      <c r="A369" s="472" t="s">
        <v>134</v>
      </c>
      <c r="B369" s="240"/>
      <c r="C369" s="118"/>
      <c r="D369" s="265"/>
      <c r="E369" s="266"/>
      <c r="F369" s="266"/>
      <c r="G369" s="266"/>
      <c r="H369" s="266"/>
      <c r="I369" s="266"/>
      <c r="J369" s="266"/>
      <c r="K369" s="267"/>
      <c r="L369" s="240" t="s">
        <v>146</v>
      </c>
      <c r="M369" s="240"/>
      <c r="N369" s="240"/>
      <c r="O369" s="240"/>
      <c r="P369" s="240"/>
      <c r="Q369" s="240"/>
      <c r="R369" s="57"/>
      <c r="S369" s="302"/>
      <c r="T369" s="303"/>
      <c r="U369" s="303"/>
      <c r="V369" s="303"/>
      <c r="W369" s="303"/>
      <c r="X369" s="303"/>
      <c r="Y369" s="304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</row>
    <row r="370" spans="1:39" ht="20.25" customHeight="1" outlineLevel="1" x14ac:dyDescent="0.2">
      <c r="A370" s="501" t="s">
        <v>457</v>
      </c>
      <c r="B370" s="502"/>
      <c r="C370" s="63"/>
      <c r="D370" s="262"/>
      <c r="E370" s="263"/>
      <c r="F370" s="263"/>
      <c r="G370" s="263"/>
      <c r="H370" s="263"/>
      <c r="I370" s="263"/>
      <c r="J370" s="263"/>
      <c r="K370" s="264"/>
      <c r="L370" s="238" t="s">
        <v>458</v>
      </c>
      <c r="M370" s="238"/>
      <c r="N370" s="238"/>
      <c r="O370" s="238"/>
      <c r="P370" s="238"/>
      <c r="Q370" s="238"/>
      <c r="R370" s="57"/>
      <c r="S370" s="302"/>
      <c r="T370" s="303"/>
      <c r="U370" s="303"/>
      <c r="V370" s="303"/>
      <c r="W370" s="303"/>
      <c r="X370" s="303"/>
      <c r="Y370" s="304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</row>
    <row r="371" spans="1:39" ht="20.25" customHeight="1" outlineLevel="1" x14ac:dyDescent="0.2">
      <c r="A371" s="472" t="s">
        <v>135</v>
      </c>
      <c r="B371" s="240"/>
      <c r="C371" s="118"/>
      <c r="D371" s="265"/>
      <c r="E371" s="266"/>
      <c r="F371" s="266"/>
      <c r="G371" s="266"/>
      <c r="H371" s="266"/>
      <c r="I371" s="266"/>
      <c r="J371" s="266"/>
      <c r="K371" s="267"/>
      <c r="L371" s="240" t="s">
        <v>147</v>
      </c>
      <c r="M371" s="240"/>
      <c r="N371" s="240"/>
      <c r="O371" s="240"/>
      <c r="P371" s="240"/>
      <c r="Q371" s="240"/>
      <c r="R371" s="57"/>
      <c r="S371" s="302"/>
      <c r="T371" s="303"/>
      <c r="U371" s="303"/>
      <c r="V371" s="303"/>
      <c r="W371" s="303"/>
      <c r="X371" s="303"/>
      <c r="Y371" s="304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</row>
    <row r="372" spans="1:39" ht="20.25" customHeight="1" outlineLevel="1" x14ac:dyDescent="0.2">
      <c r="A372" s="472" t="s">
        <v>136</v>
      </c>
      <c r="B372" s="240"/>
      <c r="C372" s="118"/>
      <c r="D372" s="265"/>
      <c r="E372" s="266"/>
      <c r="F372" s="266"/>
      <c r="G372" s="266"/>
      <c r="H372" s="266"/>
      <c r="I372" s="266"/>
      <c r="J372" s="266"/>
      <c r="K372" s="267"/>
      <c r="L372" s="240" t="s">
        <v>148</v>
      </c>
      <c r="M372" s="240"/>
      <c r="N372" s="240"/>
      <c r="O372" s="240"/>
      <c r="P372" s="240"/>
      <c r="Q372" s="240"/>
      <c r="R372" s="57"/>
      <c r="S372" s="302"/>
      <c r="T372" s="303"/>
      <c r="U372" s="303"/>
      <c r="V372" s="303"/>
      <c r="W372" s="303"/>
      <c r="X372" s="303"/>
      <c r="Y372" s="304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</row>
    <row r="373" spans="1:39" ht="20.25" customHeight="1" outlineLevel="1" x14ac:dyDescent="0.2">
      <c r="A373" s="472" t="s">
        <v>137</v>
      </c>
      <c r="B373" s="240"/>
      <c r="C373" s="118"/>
      <c r="D373" s="265"/>
      <c r="E373" s="266"/>
      <c r="F373" s="266"/>
      <c r="G373" s="266"/>
      <c r="H373" s="266"/>
      <c r="I373" s="266"/>
      <c r="J373" s="266"/>
      <c r="K373" s="267"/>
      <c r="L373" s="240" t="s">
        <v>149</v>
      </c>
      <c r="M373" s="240"/>
      <c r="N373" s="240"/>
      <c r="O373" s="240"/>
      <c r="P373" s="240"/>
      <c r="Q373" s="240"/>
      <c r="R373" s="57"/>
      <c r="S373" s="302"/>
      <c r="T373" s="303"/>
      <c r="U373" s="303"/>
      <c r="V373" s="303"/>
      <c r="W373" s="303"/>
      <c r="X373" s="303"/>
      <c r="Y373" s="304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</row>
    <row r="374" spans="1:39" ht="20.25" customHeight="1" outlineLevel="1" x14ac:dyDescent="0.2">
      <c r="A374" s="501" t="s">
        <v>459</v>
      </c>
      <c r="B374" s="502"/>
      <c r="C374" s="63"/>
      <c r="D374" s="262"/>
      <c r="E374" s="263"/>
      <c r="F374" s="263"/>
      <c r="G374" s="263"/>
      <c r="H374" s="263"/>
      <c r="I374" s="263"/>
      <c r="J374" s="263"/>
      <c r="K374" s="264"/>
      <c r="L374" s="238" t="s">
        <v>460</v>
      </c>
      <c r="M374" s="238"/>
      <c r="N374" s="238"/>
      <c r="O374" s="238"/>
      <c r="P374" s="238"/>
      <c r="Q374" s="238"/>
      <c r="R374" s="57"/>
      <c r="S374" s="302"/>
      <c r="T374" s="303"/>
      <c r="U374" s="303"/>
      <c r="V374" s="303"/>
      <c r="W374" s="303"/>
      <c r="X374" s="303"/>
      <c r="Y374" s="304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</row>
    <row r="375" spans="1:39" ht="20.25" customHeight="1" outlineLevel="1" x14ac:dyDescent="0.2">
      <c r="A375" s="503" t="s">
        <v>138</v>
      </c>
      <c r="B375" s="489"/>
      <c r="C375" s="170"/>
      <c r="D375" s="286"/>
      <c r="E375" s="287"/>
      <c r="F375" s="287"/>
      <c r="G375" s="287"/>
      <c r="H375" s="287"/>
      <c r="I375" s="287"/>
      <c r="J375" s="287"/>
      <c r="K375" s="288"/>
      <c r="L375" s="489" t="s">
        <v>150</v>
      </c>
      <c r="M375" s="489"/>
      <c r="N375" s="489"/>
      <c r="O375" s="489"/>
      <c r="P375" s="489"/>
      <c r="Q375" s="489"/>
      <c r="R375" s="82"/>
      <c r="S375" s="495"/>
      <c r="T375" s="496"/>
      <c r="U375" s="496"/>
      <c r="V375" s="496"/>
      <c r="W375" s="496"/>
      <c r="X375" s="496"/>
      <c r="Y375" s="497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</row>
    <row r="376" spans="1:39" ht="20.25" customHeight="1" outlineLevel="1" x14ac:dyDescent="0.2">
      <c r="A376" s="507" t="s">
        <v>139</v>
      </c>
      <c r="B376" s="490"/>
      <c r="C376" s="168"/>
      <c r="D376" s="289"/>
      <c r="E376" s="290"/>
      <c r="F376" s="290"/>
      <c r="G376" s="290"/>
      <c r="H376" s="290"/>
      <c r="I376" s="290"/>
      <c r="J376" s="290"/>
      <c r="K376" s="291"/>
      <c r="L376" s="490" t="s">
        <v>151</v>
      </c>
      <c r="M376" s="490"/>
      <c r="N376" s="490"/>
      <c r="O376" s="490"/>
      <c r="P376" s="490"/>
      <c r="Q376" s="490"/>
      <c r="R376" s="169"/>
      <c r="S376" s="498"/>
      <c r="T376" s="499"/>
      <c r="U376" s="499"/>
      <c r="V376" s="499"/>
      <c r="W376" s="499"/>
      <c r="X376" s="499"/>
      <c r="Y376" s="500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</row>
    <row r="377" spans="1:39" ht="20.25" customHeight="1" outlineLevel="1" x14ac:dyDescent="0.2">
      <c r="A377" s="472" t="s">
        <v>140</v>
      </c>
      <c r="B377" s="240"/>
      <c r="C377" s="118"/>
      <c r="D377" s="265"/>
      <c r="E377" s="266"/>
      <c r="F377" s="266"/>
      <c r="G377" s="266"/>
      <c r="H377" s="266"/>
      <c r="I377" s="266"/>
      <c r="J377" s="266"/>
      <c r="K377" s="267"/>
      <c r="L377" s="489" t="s">
        <v>152</v>
      </c>
      <c r="M377" s="489"/>
      <c r="N377" s="489"/>
      <c r="O377" s="489"/>
      <c r="P377" s="489"/>
      <c r="Q377" s="489"/>
      <c r="R377" s="82"/>
      <c r="S377" s="495"/>
      <c r="T377" s="496"/>
      <c r="U377" s="496"/>
      <c r="V377" s="496"/>
      <c r="W377" s="496"/>
      <c r="X377" s="496"/>
      <c r="Y377" s="497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</row>
    <row r="378" spans="1:39" ht="20.25" customHeight="1" outlineLevel="1" x14ac:dyDescent="0.2">
      <c r="A378" s="501" t="s">
        <v>461</v>
      </c>
      <c r="B378" s="502"/>
      <c r="C378" s="63"/>
      <c r="D378" s="262"/>
      <c r="E378" s="263"/>
      <c r="F378" s="263"/>
      <c r="G378" s="263"/>
      <c r="H378" s="263"/>
      <c r="I378" s="263"/>
      <c r="J378" s="263"/>
      <c r="K378" s="263"/>
      <c r="L378" s="280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2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</row>
    <row r="379" spans="1:39" ht="20.25" customHeight="1" outlineLevel="1" x14ac:dyDescent="0.2">
      <c r="A379" s="472" t="s">
        <v>141</v>
      </c>
      <c r="B379" s="240"/>
      <c r="C379" s="118"/>
      <c r="D379" s="265"/>
      <c r="E379" s="266"/>
      <c r="F379" s="266"/>
      <c r="G379" s="266"/>
      <c r="H379" s="266"/>
      <c r="I379" s="266"/>
      <c r="J379" s="266"/>
      <c r="K379" s="266"/>
      <c r="L379" s="283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5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</row>
    <row r="380" spans="1:39" ht="20.25" customHeight="1" x14ac:dyDescent="0.2">
      <c r="A380" s="472" t="s">
        <v>142</v>
      </c>
      <c r="B380" s="240"/>
      <c r="C380" s="118"/>
      <c r="D380" s="265"/>
      <c r="E380" s="266"/>
      <c r="F380" s="266"/>
      <c r="G380" s="266"/>
      <c r="H380" s="266"/>
      <c r="I380" s="266"/>
      <c r="J380" s="266"/>
      <c r="K380" s="266"/>
      <c r="L380" s="283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5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</row>
    <row r="381" spans="1:39" ht="20.25" customHeight="1" outlineLevel="1" x14ac:dyDescent="0.2">
      <c r="A381" s="503" t="s">
        <v>143</v>
      </c>
      <c r="B381" s="489"/>
      <c r="C381" s="170"/>
      <c r="D381" s="286"/>
      <c r="E381" s="287"/>
      <c r="F381" s="287"/>
      <c r="G381" s="287"/>
      <c r="H381" s="287"/>
      <c r="I381" s="287"/>
      <c r="J381" s="287"/>
      <c r="K381" s="287"/>
      <c r="L381" s="283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5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</row>
    <row r="382" spans="1:39" ht="15.75" customHeight="1" outlineLevel="1" x14ac:dyDescent="0.2">
      <c r="A382" s="278" t="s">
        <v>462</v>
      </c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203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</row>
    <row r="383" spans="1:39" ht="15.75" customHeight="1" outlineLevel="1" x14ac:dyDescent="0.2">
      <c r="A383" s="278" t="s">
        <v>76</v>
      </c>
      <c r="B383" s="270" t="s">
        <v>176</v>
      </c>
      <c r="C383" s="190"/>
      <c r="D383" s="190"/>
      <c r="E383" s="190"/>
      <c r="F383" s="270" t="s">
        <v>0</v>
      </c>
      <c r="G383" s="190"/>
      <c r="H383" s="190"/>
      <c r="I383" s="190"/>
      <c r="J383" s="190"/>
      <c r="K383" s="190"/>
      <c r="L383" s="279" t="s">
        <v>76</v>
      </c>
      <c r="M383" s="190"/>
      <c r="N383" s="190"/>
      <c r="O383" s="190"/>
      <c r="P383" s="190"/>
      <c r="Q383" s="270" t="s">
        <v>253</v>
      </c>
      <c r="R383" s="190"/>
      <c r="S383" s="190"/>
      <c r="T383" s="270" t="s">
        <v>0</v>
      </c>
      <c r="U383" s="190"/>
      <c r="V383" s="190"/>
      <c r="W383" s="190"/>
      <c r="X383" s="190"/>
      <c r="Y383" s="203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</row>
    <row r="384" spans="1:39" ht="15.75" customHeight="1" outlineLevel="1" x14ac:dyDescent="0.2">
      <c r="A384" s="198"/>
      <c r="B384" s="171">
        <v>45944</v>
      </c>
      <c r="C384" s="172" t="s">
        <v>3</v>
      </c>
      <c r="D384" s="172" t="s">
        <v>4</v>
      </c>
      <c r="E384" s="172" t="s">
        <v>1</v>
      </c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72" t="s">
        <v>22</v>
      </c>
      <c r="R384" s="172" t="s">
        <v>23</v>
      </c>
      <c r="S384" s="172" t="s">
        <v>24</v>
      </c>
      <c r="T384" s="190"/>
      <c r="U384" s="190"/>
      <c r="V384" s="190"/>
      <c r="W384" s="190"/>
      <c r="X384" s="190"/>
      <c r="Y384" s="203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</row>
    <row r="385" spans="1:39" ht="19.5" customHeight="1" outlineLevel="1" x14ac:dyDescent="0.2">
      <c r="A385" s="50" t="s">
        <v>165</v>
      </c>
      <c r="B385" s="173"/>
      <c r="C385" s="173"/>
      <c r="D385" s="173"/>
      <c r="E385" s="173"/>
      <c r="F385" s="271"/>
      <c r="G385" s="207"/>
      <c r="H385" s="207"/>
      <c r="I385" s="207"/>
      <c r="J385" s="207"/>
      <c r="K385" s="207"/>
      <c r="L385" s="272" t="s">
        <v>166</v>
      </c>
      <c r="M385" s="273"/>
      <c r="N385" s="273"/>
      <c r="O385" s="273"/>
      <c r="P385" s="274"/>
      <c r="Q385" s="174"/>
      <c r="R385" s="1"/>
      <c r="S385" s="1"/>
      <c r="T385" s="228"/>
      <c r="U385" s="207"/>
      <c r="V385" s="207"/>
      <c r="W385" s="207"/>
      <c r="X385" s="207"/>
      <c r="Y385" s="229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</row>
    <row r="386" spans="1:39" ht="16.5" customHeight="1" outlineLevel="1" x14ac:dyDescent="0.2">
      <c r="A386" s="51" t="s">
        <v>463</v>
      </c>
      <c r="B386" s="19"/>
      <c r="C386" s="20"/>
      <c r="D386" s="20"/>
      <c r="E386" s="20"/>
      <c r="F386" s="275"/>
      <c r="G386" s="212"/>
      <c r="H386" s="212"/>
      <c r="I386" s="212"/>
      <c r="J386" s="212"/>
      <c r="K386" s="212"/>
      <c r="L386" s="276" t="s">
        <v>464</v>
      </c>
      <c r="M386" s="277"/>
      <c r="N386" s="277"/>
      <c r="O386" s="277"/>
      <c r="P386" s="277"/>
      <c r="Q386" s="142"/>
      <c r="R386" s="140"/>
      <c r="S386" s="140"/>
      <c r="T386" s="252"/>
      <c r="U386" s="253"/>
      <c r="V386" s="253"/>
      <c r="W386" s="253"/>
      <c r="X386" s="253"/>
      <c r="Y386" s="254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</row>
    <row r="387" spans="1:39" ht="19.5" customHeight="1" outlineLevel="1" x14ac:dyDescent="0.2">
      <c r="A387" s="52" t="s">
        <v>465</v>
      </c>
      <c r="B387" s="14"/>
      <c r="C387" s="14"/>
      <c r="D387" s="14"/>
      <c r="E387" s="14"/>
      <c r="F387" s="192"/>
      <c r="G387" s="212"/>
      <c r="H387" s="212"/>
      <c r="I387" s="212"/>
      <c r="J387" s="212"/>
      <c r="K387" s="213"/>
      <c r="L387" s="139" t="s">
        <v>591</v>
      </c>
      <c r="M387" s="137"/>
      <c r="N387" s="137"/>
      <c r="O387" s="137"/>
      <c r="P387" s="138"/>
      <c r="Q387" s="24"/>
      <c r="R387" s="24"/>
      <c r="S387" s="24"/>
      <c r="T387" s="155"/>
      <c r="U387" s="144"/>
      <c r="V387" s="144"/>
      <c r="W387" s="144"/>
      <c r="X387" s="144"/>
      <c r="Y387" s="146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</row>
    <row r="388" spans="1:39" ht="19.5" customHeight="1" outlineLevel="1" x14ac:dyDescent="0.2">
      <c r="A388" s="53" t="s">
        <v>466</v>
      </c>
      <c r="B388" s="14"/>
      <c r="C388" s="14"/>
      <c r="D388" s="14"/>
      <c r="E388" s="14"/>
      <c r="F388" s="192"/>
      <c r="G388" s="212"/>
      <c r="H388" s="212"/>
      <c r="I388" s="212"/>
      <c r="J388" s="212"/>
      <c r="K388" s="213"/>
      <c r="L388" s="139" t="s">
        <v>592</v>
      </c>
      <c r="M388" s="137"/>
      <c r="N388" s="137"/>
      <c r="O388" s="137"/>
      <c r="P388" s="138"/>
      <c r="Q388" s="24"/>
      <c r="R388" s="24"/>
      <c r="S388" s="24"/>
      <c r="T388" s="155"/>
      <c r="U388" s="144"/>
      <c r="V388" s="144"/>
      <c r="W388" s="144"/>
      <c r="X388" s="144"/>
      <c r="Y388" s="146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</row>
    <row r="389" spans="1:39" ht="19.5" customHeight="1" outlineLevel="1" thickBot="1" x14ac:dyDescent="0.25">
      <c r="A389" s="179" t="s">
        <v>467</v>
      </c>
      <c r="B389" s="30"/>
      <c r="C389" s="30"/>
      <c r="D389" s="30"/>
      <c r="E389" s="30"/>
      <c r="F389" s="230"/>
      <c r="G389" s="210"/>
      <c r="H389" s="210"/>
      <c r="I389" s="210"/>
      <c r="J389" s="210"/>
      <c r="K389" s="211"/>
      <c r="L389" s="309" t="s">
        <v>468</v>
      </c>
      <c r="M389" s="310"/>
      <c r="N389" s="310"/>
      <c r="O389" s="310"/>
      <c r="P389" s="311"/>
      <c r="Q389" s="180"/>
      <c r="R389" s="180"/>
      <c r="S389" s="180"/>
      <c r="T389" s="312"/>
      <c r="U389" s="313"/>
      <c r="V389" s="313"/>
      <c r="W389" s="313"/>
      <c r="X389" s="313"/>
      <c r="Y389" s="314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</row>
    <row r="390" spans="1:39" ht="15.75" customHeight="1" outlineLevel="1" x14ac:dyDescent="0.2">
      <c r="A390" s="256" t="s">
        <v>76</v>
      </c>
      <c r="B390" s="258" t="s">
        <v>176</v>
      </c>
      <c r="C390" s="200"/>
      <c r="D390" s="200"/>
      <c r="E390" s="200"/>
      <c r="F390" s="258" t="s">
        <v>0</v>
      </c>
      <c r="G390" s="200"/>
      <c r="H390" s="200"/>
      <c r="I390" s="200"/>
      <c r="J390" s="200"/>
      <c r="K390" s="200"/>
      <c r="L390" s="257" t="s">
        <v>76</v>
      </c>
      <c r="M390" s="200"/>
      <c r="N390" s="200"/>
      <c r="O390" s="200"/>
      <c r="P390" s="200"/>
      <c r="Q390" s="258" t="s">
        <v>253</v>
      </c>
      <c r="R390" s="200"/>
      <c r="S390" s="200"/>
      <c r="T390" s="258" t="s">
        <v>0</v>
      </c>
      <c r="U390" s="200"/>
      <c r="V390" s="200"/>
      <c r="W390" s="200"/>
      <c r="X390" s="200"/>
      <c r="Y390" s="202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</row>
    <row r="391" spans="1:39" ht="15.75" customHeight="1" outlineLevel="1" x14ac:dyDescent="0.2">
      <c r="A391" s="198"/>
      <c r="B391" s="171">
        <v>45944</v>
      </c>
      <c r="C391" s="172" t="s">
        <v>3</v>
      </c>
      <c r="D391" s="172" t="s">
        <v>4</v>
      </c>
      <c r="E391" s="172" t="s">
        <v>1</v>
      </c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72" t="s">
        <v>22</v>
      </c>
      <c r="R391" s="172" t="s">
        <v>23</v>
      </c>
      <c r="S391" s="172" t="s">
        <v>24</v>
      </c>
      <c r="T391" s="190"/>
      <c r="U391" s="190"/>
      <c r="V391" s="190"/>
      <c r="W391" s="190"/>
      <c r="X391" s="190"/>
      <c r="Y391" s="203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</row>
    <row r="392" spans="1:39" ht="19.5" customHeight="1" outlineLevel="1" x14ac:dyDescent="0.2">
      <c r="A392" s="175" t="s">
        <v>469</v>
      </c>
      <c r="B392" s="1"/>
      <c r="C392" s="1"/>
      <c r="D392" s="1"/>
      <c r="E392" s="1"/>
      <c r="F392" s="228"/>
      <c r="G392" s="207"/>
      <c r="H392" s="207"/>
      <c r="I392" s="207"/>
      <c r="J392" s="207"/>
      <c r="K392" s="208"/>
      <c r="L392" s="176" t="s">
        <v>470</v>
      </c>
      <c r="M392" s="147"/>
      <c r="N392" s="147"/>
      <c r="O392" s="147"/>
      <c r="P392" s="153"/>
      <c r="Q392" s="177"/>
      <c r="R392" s="177"/>
      <c r="S392" s="177"/>
      <c r="T392" s="178"/>
      <c r="U392" s="147"/>
      <c r="V392" s="147"/>
      <c r="W392" s="147"/>
      <c r="X392" s="147"/>
      <c r="Y392" s="154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</row>
    <row r="393" spans="1:39" ht="19.5" customHeight="1" outlineLevel="1" x14ac:dyDescent="0.2">
      <c r="A393" s="53" t="s">
        <v>471</v>
      </c>
      <c r="B393" s="14"/>
      <c r="C393" s="14"/>
      <c r="D393" s="14"/>
      <c r="E393" s="14"/>
      <c r="F393" s="192"/>
      <c r="G393" s="212"/>
      <c r="H393" s="212"/>
      <c r="I393" s="212"/>
      <c r="J393" s="212"/>
      <c r="K393" s="213"/>
      <c r="L393" s="255" t="s">
        <v>472</v>
      </c>
      <c r="M393" s="212"/>
      <c r="N393" s="212"/>
      <c r="O393" s="212"/>
      <c r="P393" s="213"/>
      <c r="Q393" s="24"/>
      <c r="R393" s="24"/>
      <c r="S393" s="24"/>
      <c r="T393" s="269"/>
      <c r="U393" s="212"/>
      <c r="V393" s="212"/>
      <c r="W393" s="212"/>
      <c r="X393" s="212"/>
      <c r="Y393" s="239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</row>
    <row r="394" spans="1:39" ht="19.5" customHeight="1" outlineLevel="1" x14ac:dyDescent="0.2">
      <c r="A394" s="54" t="s">
        <v>473</v>
      </c>
      <c r="B394" s="14"/>
      <c r="C394" s="14"/>
      <c r="D394" s="14"/>
      <c r="E394" s="14"/>
      <c r="F394" s="192"/>
      <c r="G394" s="212"/>
      <c r="H394" s="212"/>
      <c r="I394" s="212"/>
      <c r="J394" s="212"/>
      <c r="K394" s="213"/>
      <c r="L394" s="255" t="s">
        <v>474</v>
      </c>
      <c r="M394" s="212"/>
      <c r="N394" s="212"/>
      <c r="O394" s="212"/>
      <c r="P394" s="213"/>
      <c r="Q394" s="24"/>
      <c r="R394" s="24"/>
      <c r="S394" s="24"/>
      <c r="T394" s="269"/>
      <c r="U394" s="212"/>
      <c r="V394" s="212"/>
      <c r="W394" s="212"/>
      <c r="X394" s="212"/>
      <c r="Y394" s="239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</row>
    <row r="395" spans="1:39" ht="19.5" customHeight="1" outlineLevel="1" x14ac:dyDescent="0.2">
      <c r="A395" s="55"/>
      <c r="B395" s="22" t="s">
        <v>22</v>
      </c>
      <c r="C395" s="22" t="s">
        <v>23</v>
      </c>
      <c r="D395" s="250" t="s">
        <v>24</v>
      </c>
      <c r="E395" s="251"/>
      <c r="F395" s="481" t="s">
        <v>0</v>
      </c>
      <c r="G395" s="319"/>
      <c r="H395" s="319"/>
      <c r="I395" s="319"/>
      <c r="J395" s="319"/>
      <c r="K395" s="236"/>
      <c r="L395" s="244" t="s">
        <v>475</v>
      </c>
      <c r="M395" s="245"/>
      <c r="N395" s="245"/>
      <c r="O395" s="245"/>
      <c r="P395" s="246"/>
      <c r="Q395" s="21"/>
      <c r="R395" s="21"/>
      <c r="S395" s="21"/>
      <c r="T395" s="247"/>
      <c r="U395" s="248"/>
      <c r="V395" s="248"/>
      <c r="W395" s="248"/>
      <c r="X395" s="248"/>
      <c r="Y395" s="249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</row>
    <row r="396" spans="1:39" ht="19.5" customHeight="1" x14ac:dyDescent="0.2">
      <c r="A396" s="56" t="s">
        <v>483</v>
      </c>
      <c r="B396" s="148"/>
      <c r="C396" s="148"/>
      <c r="D396" s="475"/>
      <c r="E396" s="190"/>
      <c r="F396" s="475"/>
      <c r="G396" s="190"/>
      <c r="H396" s="190"/>
      <c r="I396" s="190"/>
      <c r="J396" s="190"/>
      <c r="K396" s="190"/>
      <c r="L396" s="268" t="s">
        <v>476</v>
      </c>
      <c r="M396" s="212"/>
      <c r="N396" s="212"/>
      <c r="O396" s="212"/>
      <c r="P396" s="213"/>
      <c r="Q396" s="24"/>
      <c r="R396" s="24"/>
      <c r="S396" s="24"/>
      <c r="T396" s="269"/>
      <c r="U396" s="212"/>
      <c r="V396" s="212"/>
      <c r="W396" s="212"/>
      <c r="X396" s="212"/>
      <c r="Y396" s="239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</row>
    <row r="397" spans="1:39" ht="19.5" customHeight="1" x14ac:dyDescent="0.2">
      <c r="A397" s="124" t="s">
        <v>581</v>
      </c>
      <c r="B397" s="148"/>
      <c r="C397" s="148"/>
      <c r="D397" s="302"/>
      <c r="E397" s="477"/>
      <c r="F397" s="302"/>
      <c r="G397" s="303"/>
      <c r="H397" s="303"/>
      <c r="I397" s="303"/>
      <c r="J397" s="303"/>
      <c r="K397" s="477"/>
      <c r="L397" s="117" t="s">
        <v>477</v>
      </c>
      <c r="M397" s="144"/>
      <c r="N397" s="144"/>
      <c r="O397" s="144"/>
      <c r="P397" s="145"/>
      <c r="Q397" s="24"/>
      <c r="R397" s="24"/>
      <c r="S397" s="24"/>
      <c r="T397" s="155"/>
      <c r="U397" s="144"/>
      <c r="V397" s="144"/>
      <c r="W397" s="144"/>
      <c r="X397" s="144"/>
      <c r="Y397" s="146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</row>
    <row r="398" spans="1:39" ht="19.5" customHeight="1" x14ac:dyDescent="0.2">
      <c r="A398" s="124" t="s">
        <v>582</v>
      </c>
      <c r="B398" s="148"/>
      <c r="C398" s="148"/>
      <c r="D398" s="475"/>
      <c r="E398" s="190"/>
      <c r="F398" s="475"/>
      <c r="G398" s="190"/>
      <c r="H398" s="190"/>
      <c r="I398" s="190"/>
      <c r="J398" s="190"/>
      <c r="K398" s="190"/>
      <c r="L398" s="128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30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</row>
    <row r="399" spans="1:39" ht="19.5" customHeight="1" x14ac:dyDescent="0.2">
      <c r="A399" s="124" t="s">
        <v>583</v>
      </c>
      <c r="B399" s="148"/>
      <c r="C399" s="148"/>
      <c r="D399" s="475"/>
      <c r="E399" s="190"/>
      <c r="F399" s="475"/>
      <c r="G399" s="190"/>
      <c r="H399" s="190"/>
      <c r="I399" s="190"/>
      <c r="J399" s="190"/>
      <c r="K399" s="190"/>
      <c r="L399" s="131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3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</row>
    <row r="400" spans="1:39" ht="19.5" customHeight="1" x14ac:dyDescent="0.2">
      <c r="A400" s="125" t="s">
        <v>584</v>
      </c>
      <c r="B400" s="150"/>
      <c r="C400" s="150"/>
      <c r="D400" s="478"/>
      <c r="E400" s="479"/>
      <c r="F400" s="478"/>
      <c r="G400" s="479"/>
      <c r="H400" s="479"/>
      <c r="I400" s="479"/>
      <c r="J400" s="479"/>
      <c r="K400" s="479"/>
      <c r="L400" s="131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3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</row>
    <row r="401" spans="1:39" ht="19.5" customHeight="1" x14ac:dyDescent="0.2">
      <c r="A401" s="126" t="s">
        <v>585</v>
      </c>
      <c r="B401" s="148"/>
      <c r="C401" s="148"/>
      <c r="D401" s="475"/>
      <c r="E401" s="190"/>
      <c r="F401" s="475"/>
      <c r="G401" s="190"/>
      <c r="H401" s="190"/>
      <c r="I401" s="190"/>
      <c r="J401" s="190"/>
      <c r="K401" s="190"/>
      <c r="L401" s="131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3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</row>
    <row r="402" spans="1:39" ht="19.5" customHeight="1" thickBot="1" x14ac:dyDescent="0.25">
      <c r="A402" s="127" t="s">
        <v>586</v>
      </c>
      <c r="B402" s="149"/>
      <c r="C402" s="149"/>
      <c r="D402" s="476"/>
      <c r="E402" s="293"/>
      <c r="F402" s="476"/>
      <c r="G402" s="293"/>
      <c r="H402" s="293"/>
      <c r="I402" s="293"/>
      <c r="J402" s="293"/>
      <c r="K402" s="293"/>
      <c r="L402" s="134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6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</row>
    <row r="403" spans="1:39" ht="15.75" customHeight="1" x14ac:dyDescent="0.2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</row>
    <row r="404" spans="1:39" ht="15.75" customHeight="1" x14ac:dyDescent="0.2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</row>
    <row r="405" spans="1:39" ht="15.75" customHeight="1" x14ac:dyDescent="0.2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</row>
    <row r="406" spans="1:39" ht="15.75" customHeight="1" x14ac:dyDescent="0.2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</row>
    <row r="407" spans="1:39" ht="15.75" customHeight="1" x14ac:dyDescent="0.2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</row>
    <row r="408" spans="1:39" ht="15.75" customHeight="1" x14ac:dyDescent="0.2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</row>
    <row r="409" spans="1:39" ht="15.75" customHeight="1" x14ac:dyDescent="0.2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</row>
    <row r="410" spans="1:39" ht="15.75" customHeight="1" x14ac:dyDescent="0.2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</row>
    <row r="411" spans="1:39" ht="15.75" customHeight="1" x14ac:dyDescent="0.2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</row>
    <row r="412" spans="1:39" ht="15.75" customHeight="1" x14ac:dyDescent="0.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</row>
    <row r="413" spans="1:39" ht="15.75" customHeight="1" x14ac:dyDescent="0.2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</row>
    <row r="414" spans="1:39" ht="15.75" customHeight="1" x14ac:dyDescent="0.2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</row>
    <row r="415" spans="1:39" ht="15.75" customHeight="1" x14ac:dyDescent="0.2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</row>
    <row r="416" spans="1:39" ht="15.75" customHeight="1" x14ac:dyDescent="0.2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</row>
    <row r="417" spans="1:39" ht="15.75" customHeight="1" x14ac:dyDescent="0.2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</row>
    <row r="418" spans="1:39" ht="15.75" customHeight="1" x14ac:dyDescent="0.2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</row>
    <row r="419" spans="1:39" ht="15.75" customHeight="1" x14ac:dyDescent="0.2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</row>
    <row r="420" spans="1:39" ht="15.75" customHeight="1" x14ac:dyDescent="0.2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</row>
    <row r="421" spans="1:39" ht="15.75" customHeight="1" x14ac:dyDescent="0.2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</row>
    <row r="422" spans="1:39" ht="15.75" customHeight="1" x14ac:dyDescent="0.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</row>
    <row r="423" spans="1:39" ht="15.75" customHeight="1" x14ac:dyDescent="0.2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</row>
    <row r="424" spans="1:39" ht="15.75" customHeight="1" x14ac:dyDescent="0.2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</row>
    <row r="425" spans="1:39" ht="15.75" customHeight="1" x14ac:dyDescent="0.2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</row>
    <row r="426" spans="1:39" ht="15.75" customHeight="1" x14ac:dyDescent="0.2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</row>
    <row r="427" spans="1:39" ht="15.75" customHeight="1" x14ac:dyDescent="0.2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</row>
    <row r="428" spans="1:39" ht="15.75" customHeight="1" x14ac:dyDescent="0.2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</row>
    <row r="429" spans="1:39" ht="15.75" customHeight="1" x14ac:dyDescent="0.2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</row>
    <row r="430" spans="1:39" ht="15.75" customHeight="1" x14ac:dyDescent="0.2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</row>
    <row r="431" spans="1:39" ht="15.75" customHeight="1" x14ac:dyDescent="0.2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</row>
    <row r="432" spans="1:39" ht="15.75" customHeight="1" x14ac:dyDescent="0.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</row>
    <row r="433" spans="1:39" ht="15.75" customHeight="1" x14ac:dyDescent="0.2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</row>
    <row r="434" spans="1:39" ht="15.75" customHeight="1" x14ac:dyDescent="0.2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</row>
    <row r="435" spans="1:39" ht="15.75" customHeight="1" x14ac:dyDescent="0.2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</row>
    <row r="436" spans="1:39" ht="15.75" customHeight="1" x14ac:dyDescent="0.2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</row>
    <row r="437" spans="1:39" ht="15.75" customHeight="1" x14ac:dyDescent="0.2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</row>
    <row r="438" spans="1:39" ht="15.75" customHeight="1" x14ac:dyDescent="0.2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</row>
    <row r="439" spans="1:39" ht="15.75" customHeight="1" x14ac:dyDescent="0.2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</row>
    <row r="440" spans="1:39" ht="15.75" customHeight="1" x14ac:dyDescent="0.2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</row>
    <row r="441" spans="1:39" ht="15.75" customHeight="1" x14ac:dyDescent="0.2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</row>
    <row r="442" spans="1:39" ht="15.75" customHeight="1" x14ac:dyDescent="0.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</row>
    <row r="443" spans="1:39" ht="15.75" customHeight="1" x14ac:dyDescent="0.2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</row>
    <row r="444" spans="1:39" ht="15.75" customHeight="1" x14ac:dyDescent="0.2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</row>
    <row r="445" spans="1:39" ht="15.75" customHeight="1" x14ac:dyDescent="0.2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</row>
    <row r="446" spans="1:39" ht="15.75" customHeight="1" x14ac:dyDescent="0.2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</row>
    <row r="447" spans="1:39" ht="15.75" customHeight="1" x14ac:dyDescent="0.2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</row>
    <row r="448" spans="1:39" ht="15.75" customHeight="1" x14ac:dyDescent="0.2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</row>
    <row r="449" spans="1:39" ht="15.75" customHeight="1" x14ac:dyDescent="0.2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</row>
    <row r="450" spans="1:39" ht="15.75" customHeight="1" x14ac:dyDescent="0.2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</row>
    <row r="451" spans="1:39" ht="15.75" customHeight="1" x14ac:dyDescent="0.2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</row>
    <row r="452" spans="1:39" ht="15.75" customHeight="1" x14ac:dyDescent="0.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</row>
    <row r="453" spans="1:39" ht="15.75" customHeight="1" x14ac:dyDescent="0.2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</row>
    <row r="454" spans="1:39" ht="15.75" customHeight="1" x14ac:dyDescent="0.2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</row>
    <row r="455" spans="1:39" ht="15.75" customHeight="1" x14ac:dyDescent="0.2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</row>
    <row r="456" spans="1:39" ht="15.75" customHeight="1" x14ac:dyDescent="0.2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</row>
    <row r="457" spans="1:39" ht="15.75" customHeight="1" x14ac:dyDescent="0.2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</row>
    <row r="458" spans="1:39" ht="15.75" customHeight="1" x14ac:dyDescent="0.2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</row>
    <row r="459" spans="1:39" ht="15.75" customHeight="1" x14ac:dyDescent="0.2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</row>
    <row r="460" spans="1:39" ht="15.75" customHeight="1" x14ac:dyDescent="0.2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</row>
    <row r="461" spans="1:39" ht="15.75" customHeight="1" x14ac:dyDescent="0.2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</row>
    <row r="462" spans="1:39" ht="15.75" customHeight="1" x14ac:dyDescent="0.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</row>
    <row r="463" spans="1:39" ht="15.75" customHeight="1" x14ac:dyDescent="0.2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</row>
    <row r="464" spans="1:39" ht="15.75" customHeight="1" x14ac:dyDescent="0.2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</row>
    <row r="465" spans="1:39" ht="15.75" customHeight="1" x14ac:dyDescent="0.2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</row>
    <row r="466" spans="1:39" ht="15.75" customHeight="1" x14ac:dyDescent="0.2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</row>
    <row r="467" spans="1:39" ht="15.75" customHeight="1" x14ac:dyDescent="0.2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</row>
    <row r="468" spans="1:39" ht="15.75" customHeight="1" x14ac:dyDescent="0.2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</row>
    <row r="469" spans="1:39" ht="15.75" customHeight="1" x14ac:dyDescent="0.2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</row>
    <row r="470" spans="1:39" ht="15.75" customHeight="1" x14ac:dyDescent="0.2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</row>
    <row r="471" spans="1:39" ht="15.75" customHeight="1" x14ac:dyDescent="0.2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</row>
    <row r="472" spans="1:39" ht="15.75" customHeight="1" x14ac:dyDescent="0.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</row>
    <row r="473" spans="1:39" ht="15.75" customHeight="1" x14ac:dyDescent="0.2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</row>
    <row r="474" spans="1:39" ht="15.75" customHeight="1" x14ac:dyDescent="0.2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</row>
    <row r="475" spans="1:39" ht="15.75" customHeight="1" x14ac:dyDescent="0.2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</row>
    <row r="476" spans="1:39" ht="15.75" customHeight="1" x14ac:dyDescent="0.2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</row>
    <row r="477" spans="1:39" ht="15.75" customHeight="1" x14ac:dyDescent="0.2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</row>
    <row r="478" spans="1:39" ht="15.75" customHeight="1" x14ac:dyDescent="0.2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</row>
    <row r="479" spans="1:39" ht="15.75" customHeight="1" x14ac:dyDescent="0.2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</row>
    <row r="480" spans="1:39" ht="15.75" customHeight="1" x14ac:dyDescent="0.2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</row>
    <row r="481" spans="1:39" ht="15.75" customHeight="1" x14ac:dyDescent="0.2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</row>
    <row r="482" spans="1:39" ht="15.75" customHeight="1" x14ac:dyDescent="0.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</row>
    <row r="483" spans="1:39" ht="15.75" customHeight="1" x14ac:dyDescent="0.2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</row>
    <row r="484" spans="1:39" ht="15.75" customHeight="1" x14ac:dyDescent="0.2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</row>
    <row r="485" spans="1:39" ht="15.75" customHeight="1" x14ac:dyDescent="0.2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</row>
    <row r="486" spans="1:39" ht="15.75" customHeight="1" x14ac:dyDescent="0.2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</row>
    <row r="487" spans="1:39" ht="15.75" customHeight="1" x14ac:dyDescent="0.2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</row>
    <row r="488" spans="1:39" ht="15.75" customHeight="1" x14ac:dyDescent="0.2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</row>
    <row r="489" spans="1:39" ht="15.75" customHeight="1" x14ac:dyDescent="0.2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</row>
    <row r="490" spans="1:39" ht="15.75" customHeight="1" x14ac:dyDescent="0.2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</row>
    <row r="491" spans="1:39" ht="15.75" customHeight="1" x14ac:dyDescent="0.2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</row>
    <row r="492" spans="1:39" ht="15.75" customHeight="1" x14ac:dyDescent="0.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</row>
    <row r="493" spans="1:39" ht="15.75" customHeight="1" x14ac:dyDescent="0.2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</row>
    <row r="494" spans="1:39" ht="15.75" customHeight="1" x14ac:dyDescent="0.2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</row>
    <row r="495" spans="1:39" ht="15.75" customHeight="1" x14ac:dyDescent="0.2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</row>
    <row r="496" spans="1:39" ht="15.75" customHeight="1" x14ac:dyDescent="0.2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</row>
    <row r="497" spans="1:39" ht="15.75" customHeight="1" x14ac:dyDescent="0.2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</row>
    <row r="498" spans="1:39" ht="15.75" customHeight="1" x14ac:dyDescent="0.2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</row>
    <row r="499" spans="1:39" ht="15.75" customHeight="1" x14ac:dyDescent="0.2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</row>
    <row r="500" spans="1:39" ht="15.75" customHeight="1" x14ac:dyDescent="0.2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</row>
    <row r="501" spans="1:39" ht="15.75" customHeight="1" x14ac:dyDescent="0.2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</row>
    <row r="502" spans="1:39" ht="15.75" customHeight="1" x14ac:dyDescent="0.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</row>
    <row r="503" spans="1:39" ht="15.75" customHeight="1" x14ac:dyDescent="0.2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</row>
    <row r="504" spans="1:39" ht="15.75" customHeight="1" x14ac:dyDescent="0.2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</row>
    <row r="505" spans="1:39" ht="15.75" customHeight="1" x14ac:dyDescent="0.2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</row>
    <row r="506" spans="1:39" ht="15.75" customHeight="1" x14ac:dyDescent="0.2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</row>
    <row r="507" spans="1:39" ht="15.75" customHeight="1" x14ac:dyDescent="0.2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</row>
    <row r="508" spans="1:39" ht="15.75" customHeight="1" x14ac:dyDescent="0.2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</row>
    <row r="509" spans="1:39" ht="15.75" customHeight="1" x14ac:dyDescent="0.2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</row>
    <row r="510" spans="1:39" ht="15.75" customHeight="1" x14ac:dyDescent="0.2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</row>
    <row r="511" spans="1:39" ht="15.75" customHeight="1" x14ac:dyDescent="0.2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</row>
    <row r="512" spans="1:39" ht="15.75" customHeight="1" x14ac:dyDescent="0.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</row>
    <row r="513" spans="1:39" ht="15.75" customHeight="1" x14ac:dyDescent="0.2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</row>
    <row r="514" spans="1:39" ht="15.75" customHeight="1" x14ac:dyDescent="0.2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</row>
    <row r="515" spans="1:39" ht="15.75" customHeight="1" x14ac:dyDescent="0.2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</row>
    <row r="516" spans="1:39" ht="15.75" customHeight="1" x14ac:dyDescent="0.2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</row>
    <row r="517" spans="1:39" ht="15.75" customHeight="1" x14ac:dyDescent="0.2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</row>
    <row r="518" spans="1:39" ht="15.75" customHeight="1" x14ac:dyDescent="0.2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</row>
    <row r="519" spans="1:39" ht="15.75" customHeight="1" x14ac:dyDescent="0.2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</row>
    <row r="520" spans="1:39" ht="15.75" customHeight="1" x14ac:dyDescent="0.2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</row>
    <row r="521" spans="1:39" ht="15.75" customHeight="1" x14ac:dyDescent="0.2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</row>
    <row r="522" spans="1:39" ht="15.75" customHeight="1" x14ac:dyDescent="0.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</row>
    <row r="523" spans="1:39" ht="15.75" customHeight="1" x14ac:dyDescent="0.2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</row>
    <row r="524" spans="1:39" ht="15.75" customHeight="1" x14ac:dyDescent="0.2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</row>
    <row r="525" spans="1:39" ht="15.75" customHeight="1" x14ac:dyDescent="0.2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</row>
    <row r="526" spans="1:39" ht="15.75" customHeight="1" x14ac:dyDescent="0.2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</row>
    <row r="527" spans="1:39" ht="15.75" customHeight="1" x14ac:dyDescent="0.2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</row>
    <row r="528" spans="1:39" ht="15.75" customHeight="1" x14ac:dyDescent="0.2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</row>
    <row r="529" spans="1:39" ht="15.75" customHeight="1" x14ac:dyDescent="0.2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</row>
    <row r="530" spans="1:39" ht="15.75" customHeight="1" x14ac:dyDescent="0.2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</row>
    <row r="531" spans="1:39" ht="15.75" customHeight="1" x14ac:dyDescent="0.2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</row>
    <row r="532" spans="1:39" ht="15.75" customHeight="1" x14ac:dyDescent="0.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</row>
    <row r="533" spans="1:39" ht="15.75" customHeight="1" x14ac:dyDescent="0.2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</row>
    <row r="534" spans="1:39" ht="15.75" customHeight="1" x14ac:dyDescent="0.2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</row>
    <row r="535" spans="1:39" ht="15.75" customHeight="1" x14ac:dyDescent="0.2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</row>
    <row r="536" spans="1:39" ht="15.75" customHeight="1" x14ac:dyDescent="0.2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</row>
    <row r="537" spans="1:39" ht="15.75" customHeight="1" x14ac:dyDescent="0.2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</row>
    <row r="538" spans="1:39" ht="15.75" customHeight="1" x14ac:dyDescent="0.2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</row>
    <row r="539" spans="1:39" ht="15.75" customHeight="1" x14ac:dyDescent="0.2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</row>
    <row r="540" spans="1:39" ht="15.75" customHeight="1" x14ac:dyDescent="0.2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</row>
    <row r="541" spans="1:39" ht="15.75" customHeight="1" x14ac:dyDescent="0.2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</row>
    <row r="542" spans="1:39" ht="15.75" customHeight="1" x14ac:dyDescent="0.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</row>
    <row r="543" spans="1:39" ht="15.75" customHeight="1" x14ac:dyDescent="0.2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</row>
    <row r="544" spans="1:39" ht="15.75" customHeight="1" x14ac:dyDescent="0.2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</row>
    <row r="545" spans="1:39" ht="15.75" customHeight="1" x14ac:dyDescent="0.2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</row>
    <row r="546" spans="1:39" ht="15.75" customHeight="1" x14ac:dyDescent="0.2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</row>
    <row r="547" spans="1:39" ht="15.75" customHeight="1" x14ac:dyDescent="0.2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</row>
    <row r="548" spans="1:39" ht="15.75" customHeight="1" x14ac:dyDescent="0.2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</row>
    <row r="549" spans="1:39" ht="15.75" customHeight="1" x14ac:dyDescent="0.2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</row>
    <row r="550" spans="1:39" ht="15.75" customHeight="1" x14ac:dyDescent="0.2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</row>
    <row r="551" spans="1:39" ht="15.75" customHeight="1" x14ac:dyDescent="0.2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</row>
    <row r="552" spans="1:39" ht="15.75" customHeight="1" x14ac:dyDescent="0.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</row>
    <row r="553" spans="1:39" ht="15.75" customHeight="1" x14ac:dyDescent="0.2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</row>
    <row r="554" spans="1:39" ht="15.75" customHeight="1" x14ac:dyDescent="0.2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</row>
    <row r="555" spans="1:39" ht="15.75" customHeight="1" x14ac:dyDescent="0.2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</row>
    <row r="556" spans="1:39" ht="15.75" customHeight="1" x14ac:dyDescent="0.2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</row>
    <row r="557" spans="1:39" ht="15.75" customHeight="1" x14ac:dyDescent="0.2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</row>
    <row r="558" spans="1:39" ht="15.75" customHeight="1" x14ac:dyDescent="0.2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</row>
    <row r="559" spans="1:39" ht="15.75" customHeight="1" x14ac:dyDescent="0.2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</row>
    <row r="560" spans="1:39" ht="15.75" customHeight="1" x14ac:dyDescent="0.2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</row>
    <row r="561" spans="1:39" ht="15.75" customHeight="1" x14ac:dyDescent="0.2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</row>
    <row r="562" spans="1:39" ht="15.75" customHeight="1" x14ac:dyDescent="0.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</row>
    <row r="563" spans="1:39" ht="15.75" customHeight="1" x14ac:dyDescent="0.2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</row>
    <row r="564" spans="1:39" ht="15.75" customHeight="1" x14ac:dyDescent="0.2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</row>
    <row r="565" spans="1:39" ht="15.75" customHeight="1" x14ac:dyDescent="0.2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</row>
    <row r="566" spans="1:39" ht="15.75" customHeight="1" x14ac:dyDescent="0.2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</row>
    <row r="567" spans="1:39" ht="15.75" customHeight="1" x14ac:dyDescent="0.2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</row>
    <row r="568" spans="1:39" ht="15.75" customHeight="1" x14ac:dyDescent="0.2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</row>
    <row r="569" spans="1:39" ht="15.75" customHeight="1" x14ac:dyDescent="0.2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</row>
    <row r="570" spans="1:39" ht="15.75" customHeight="1" x14ac:dyDescent="0.2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</row>
    <row r="571" spans="1:39" ht="15.75" customHeight="1" x14ac:dyDescent="0.2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</row>
    <row r="572" spans="1:39" ht="15.75" customHeight="1" x14ac:dyDescent="0.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</row>
    <row r="573" spans="1:39" ht="15.75" customHeight="1" x14ac:dyDescent="0.2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</row>
    <row r="574" spans="1:39" ht="15.75" customHeight="1" x14ac:dyDescent="0.2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</row>
    <row r="575" spans="1:39" ht="15.75" customHeight="1" x14ac:dyDescent="0.2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</row>
    <row r="576" spans="1:39" ht="15.75" customHeight="1" x14ac:dyDescent="0.2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</row>
    <row r="577" spans="1:39" ht="15.75" customHeight="1" x14ac:dyDescent="0.2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</row>
    <row r="578" spans="1:39" ht="15.75" customHeight="1" x14ac:dyDescent="0.2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</row>
    <row r="579" spans="1:39" ht="15.75" customHeight="1" x14ac:dyDescent="0.2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</row>
    <row r="580" spans="1:39" ht="15.75" customHeight="1" x14ac:dyDescent="0.2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</row>
    <row r="581" spans="1:39" ht="15.75" customHeight="1" x14ac:dyDescent="0.2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</row>
    <row r="582" spans="1:39" ht="15.75" customHeight="1" x14ac:dyDescent="0.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</row>
    <row r="583" spans="1:39" ht="15.75" customHeight="1" x14ac:dyDescent="0.2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</row>
    <row r="584" spans="1:39" ht="15.75" customHeight="1" x14ac:dyDescent="0.2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</row>
    <row r="585" spans="1:39" ht="15.75" customHeight="1" x14ac:dyDescent="0.2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</row>
    <row r="586" spans="1:39" ht="15.75" customHeight="1" x14ac:dyDescent="0.2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</row>
    <row r="587" spans="1:39" ht="15.75" customHeight="1" x14ac:dyDescent="0.2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</row>
    <row r="588" spans="1:39" ht="15.75" customHeight="1" x14ac:dyDescent="0.2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</row>
    <row r="589" spans="1:39" ht="15.75" customHeight="1" x14ac:dyDescent="0.2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</row>
    <row r="590" spans="1:39" ht="15.75" customHeight="1" x14ac:dyDescent="0.2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</row>
    <row r="591" spans="1:39" ht="15.75" customHeight="1" x14ac:dyDescent="0.2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</row>
    <row r="592" spans="1:39" ht="15.75" customHeight="1" x14ac:dyDescent="0.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</row>
    <row r="593" spans="1:39" ht="15.75" customHeight="1" x14ac:dyDescent="0.2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</row>
    <row r="594" spans="1:39" ht="15.75" customHeight="1" x14ac:dyDescent="0.2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</row>
    <row r="595" spans="1:39" ht="15.75" customHeight="1" x14ac:dyDescent="0.2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</row>
    <row r="596" spans="1:39" ht="15.75" customHeight="1" x14ac:dyDescent="0.2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</row>
    <row r="597" spans="1:39" ht="15.75" customHeight="1" x14ac:dyDescent="0.2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</row>
    <row r="598" spans="1:39" ht="15.75" customHeight="1" x14ac:dyDescent="0.2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</row>
    <row r="599" spans="1:39" ht="15.75" customHeight="1" x14ac:dyDescent="0.2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</row>
    <row r="600" spans="1:39" ht="15.75" customHeight="1" x14ac:dyDescent="0.2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</row>
    <row r="601" spans="1:39" ht="15.75" customHeight="1" x14ac:dyDescent="0.2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</row>
    <row r="602" spans="1:39" ht="15.75" customHeight="1" x14ac:dyDescent="0.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</row>
    <row r="603" spans="1:39" ht="15.75" customHeight="1" x14ac:dyDescent="0.2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</row>
    <row r="604" spans="1:39" ht="15.75" customHeight="1" x14ac:dyDescent="0.2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</row>
    <row r="605" spans="1:39" ht="15.75" customHeight="1" x14ac:dyDescent="0.2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</row>
    <row r="606" spans="1:39" ht="15.75" customHeight="1" x14ac:dyDescent="0.2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</row>
    <row r="607" spans="1:39" ht="15.75" customHeight="1" x14ac:dyDescent="0.2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</row>
    <row r="608" spans="1:39" ht="15.75" customHeight="1" x14ac:dyDescent="0.2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</row>
    <row r="609" spans="1:39" ht="15.75" customHeight="1" x14ac:dyDescent="0.2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</row>
    <row r="610" spans="1:39" ht="15.75" customHeight="1" x14ac:dyDescent="0.2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</row>
    <row r="611" spans="1:39" ht="15.75" customHeight="1" x14ac:dyDescent="0.2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</row>
    <row r="612" spans="1:39" ht="15.75" customHeight="1" x14ac:dyDescent="0.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</row>
    <row r="613" spans="1:39" ht="15.75" customHeight="1" x14ac:dyDescent="0.2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</row>
    <row r="614" spans="1:39" ht="15.75" customHeight="1" x14ac:dyDescent="0.2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</row>
    <row r="615" spans="1:39" ht="15.75" customHeight="1" x14ac:dyDescent="0.2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</row>
    <row r="616" spans="1:39" ht="15.75" customHeight="1" x14ac:dyDescent="0.2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</row>
    <row r="617" spans="1:39" ht="15.75" customHeight="1" x14ac:dyDescent="0.2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</row>
    <row r="618" spans="1:39" ht="15.75" customHeight="1" x14ac:dyDescent="0.2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</row>
    <row r="619" spans="1:39" ht="15.75" customHeight="1" x14ac:dyDescent="0.2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</row>
    <row r="620" spans="1:39" ht="15.75" customHeight="1" x14ac:dyDescent="0.2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</row>
    <row r="621" spans="1:39" ht="15.75" customHeight="1" x14ac:dyDescent="0.2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</row>
    <row r="622" spans="1:39" ht="15.75" customHeight="1" x14ac:dyDescent="0.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</row>
    <row r="623" spans="1:39" ht="15.75" customHeight="1" x14ac:dyDescent="0.2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</row>
    <row r="624" spans="1:39" ht="15.75" customHeight="1" x14ac:dyDescent="0.2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</row>
    <row r="625" spans="1:39" ht="15.75" customHeight="1" x14ac:dyDescent="0.2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</row>
    <row r="626" spans="1:39" ht="15.75" customHeight="1" x14ac:dyDescent="0.2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</row>
    <row r="627" spans="1:39" ht="15.75" customHeight="1" x14ac:dyDescent="0.2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</row>
    <row r="628" spans="1:39" ht="15.75" customHeight="1" x14ac:dyDescent="0.2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</row>
    <row r="629" spans="1:39" ht="15.75" customHeight="1" x14ac:dyDescent="0.2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</row>
    <row r="630" spans="1:39" ht="15.75" customHeight="1" x14ac:dyDescent="0.2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</row>
    <row r="631" spans="1:39" ht="15.75" customHeight="1" x14ac:dyDescent="0.2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</row>
    <row r="632" spans="1:39" ht="15.75" customHeight="1" x14ac:dyDescent="0.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</row>
    <row r="633" spans="1:39" ht="15.75" customHeight="1" x14ac:dyDescent="0.2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</row>
    <row r="634" spans="1:39" ht="15.75" customHeight="1" x14ac:dyDescent="0.2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</row>
    <row r="635" spans="1:39" ht="15.75" customHeight="1" x14ac:dyDescent="0.2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</row>
    <row r="636" spans="1:39" ht="15.75" customHeight="1" x14ac:dyDescent="0.2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</row>
    <row r="637" spans="1:39" ht="15.75" customHeight="1" x14ac:dyDescent="0.2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</row>
    <row r="638" spans="1:39" ht="15.75" customHeight="1" x14ac:dyDescent="0.2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</row>
    <row r="639" spans="1:39" ht="15.75" customHeight="1" x14ac:dyDescent="0.2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</row>
    <row r="640" spans="1:39" ht="15.75" customHeight="1" x14ac:dyDescent="0.2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</row>
    <row r="641" spans="1:39" ht="15.75" customHeight="1" x14ac:dyDescent="0.2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</row>
    <row r="642" spans="1:39" ht="15.75" customHeight="1" x14ac:dyDescent="0.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</row>
    <row r="643" spans="1:39" ht="15.75" customHeight="1" x14ac:dyDescent="0.2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</row>
    <row r="644" spans="1:39" ht="15.75" customHeight="1" x14ac:dyDescent="0.2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</row>
    <row r="645" spans="1:39" ht="15.75" customHeight="1" x14ac:dyDescent="0.2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</row>
    <row r="646" spans="1:39" ht="15.75" customHeight="1" x14ac:dyDescent="0.2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</row>
    <row r="647" spans="1:39" ht="15.75" customHeight="1" x14ac:dyDescent="0.2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</row>
    <row r="648" spans="1:39" ht="15.75" customHeight="1" x14ac:dyDescent="0.2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</row>
    <row r="649" spans="1:39" ht="15.75" customHeight="1" x14ac:dyDescent="0.2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</row>
    <row r="650" spans="1:39" ht="15.75" customHeight="1" x14ac:dyDescent="0.2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</row>
    <row r="651" spans="1:39" ht="15.75" customHeight="1" x14ac:dyDescent="0.2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</row>
    <row r="652" spans="1:39" ht="15.75" customHeight="1" x14ac:dyDescent="0.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</row>
    <row r="653" spans="1:39" ht="15.75" customHeight="1" x14ac:dyDescent="0.2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</row>
    <row r="654" spans="1:39" ht="15.75" customHeight="1" x14ac:dyDescent="0.2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</row>
    <row r="655" spans="1:39" ht="15.75" customHeight="1" x14ac:dyDescent="0.2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</row>
    <row r="656" spans="1:39" ht="15.75" customHeight="1" x14ac:dyDescent="0.2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</row>
    <row r="657" spans="1:39" ht="15.75" customHeight="1" x14ac:dyDescent="0.2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</row>
    <row r="658" spans="1:39" ht="15.75" customHeight="1" x14ac:dyDescent="0.2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</row>
    <row r="659" spans="1:39" ht="15.75" customHeight="1" x14ac:dyDescent="0.2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</row>
    <row r="660" spans="1:39" ht="15.75" customHeight="1" x14ac:dyDescent="0.2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</row>
    <row r="661" spans="1:39" ht="15.75" customHeight="1" x14ac:dyDescent="0.2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</row>
    <row r="662" spans="1:39" ht="15.75" customHeight="1" x14ac:dyDescent="0.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</row>
    <row r="663" spans="1:39" ht="15.75" customHeight="1" x14ac:dyDescent="0.2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</row>
    <row r="664" spans="1:39" ht="15.75" customHeight="1" x14ac:dyDescent="0.2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</row>
    <row r="665" spans="1:39" ht="15.75" customHeight="1" x14ac:dyDescent="0.2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</row>
    <row r="666" spans="1:39" ht="15.75" customHeight="1" x14ac:dyDescent="0.2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</row>
    <row r="667" spans="1:39" ht="15.75" customHeight="1" x14ac:dyDescent="0.2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</row>
    <row r="668" spans="1:39" ht="15.75" customHeight="1" x14ac:dyDescent="0.2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</row>
    <row r="669" spans="1:39" ht="15.75" customHeight="1" x14ac:dyDescent="0.2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</row>
    <row r="670" spans="1:39" ht="15.75" customHeight="1" x14ac:dyDescent="0.2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</row>
    <row r="671" spans="1:39" ht="15.75" customHeight="1" x14ac:dyDescent="0.2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</row>
    <row r="672" spans="1:39" ht="15.75" customHeight="1" x14ac:dyDescent="0.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</row>
    <row r="673" spans="1:39" ht="15.75" customHeight="1" x14ac:dyDescent="0.2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</row>
    <row r="674" spans="1:39" ht="15.75" customHeight="1" x14ac:dyDescent="0.2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</row>
    <row r="675" spans="1:39" ht="15.75" customHeight="1" x14ac:dyDescent="0.2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</row>
    <row r="676" spans="1:39" ht="15.75" customHeight="1" x14ac:dyDescent="0.2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</row>
    <row r="677" spans="1:39" ht="15.75" customHeight="1" x14ac:dyDescent="0.2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</row>
    <row r="678" spans="1:39" ht="15.75" customHeight="1" x14ac:dyDescent="0.2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</row>
    <row r="679" spans="1:39" ht="15.75" customHeight="1" x14ac:dyDescent="0.2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</row>
    <row r="680" spans="1:39" ht="15.75" customHeight="1" x14ac:dyDescent="0.2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</row>
    <row r="681" spans="1:39" ht="15.75" customHeight="1" x14ac:dyDescent="0.2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</row>
    <row r="682" spans="1:39" ht="15.75" customHeight="1" x14ac:dyDescent="0.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</row>
    <row r="683" spans="1:39" ht="15.75" customHeight="1" x14ac:dyDescent="0.2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</row>
    <row r="684" spans="1:39" ht="15.75" customHeight="1" x14ac:dyDescent="0.2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</row>
    <row r="685" spans="1:39" ht="15.75" customHeight="1" x14ac:dyDescent="0.2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</row>
    <row r="686" spans="1:39" ht="15.75" customHeight="1" x14ac:dyDescent="0.2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</row>
    <row r="687" spans="1:39" ht="15.75" customHeight="1" x14ac:dyDescent="0.2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</row>
    <row r="688" spans="1:39" ht="15.75" customHeight="1" x14ac:dyDescent="0.2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</row>
    <row r="689" spans="1:39" ht="15.75" customHeight="1" x14ac:dyDescent="0.2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</row>
    <row r="690" spans="1:39" ht="15.75" customHeight="1" x14ac:dyDescent="0.2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</row>
    <row r="691" spans="1:39" ht="15.75" customHeight="1" x14ac:dyDescent="0.2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</row>
    <row r="692" spans="1:39" ht="15.75" customHeight="1" x14ac:dyDescent="0.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</row>
    <row r="693" spans="1:39" ht="15.75" customHeight="1" x14ac:dyDescent="0.2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</row>
    <row r="694" spans="1:39" ht="15.75" customHeight="1" x14ac:dyDescent="0.2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</row>
    <row r="695" spans="1:39" ht="15.75" customHeight="1" x14ac:dyDescent="0.2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</row>
    <row r="696" spans="1:39" ht="15.75" customHeight="1" x14ac:dyDescent="0.2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</row>
    <row r="697" spans="1:39" ht="15.75" customHeight="1" x14ac:dyDescent="0.2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</row>
    <row r="698" spans="1:39" ht="15.75" customHeight="1" x14ac:dyDescent="0.2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</row>
    <row r="699" spans="1:39" ht="15.75" customHeight="1" x14ac:dyDescent="0.2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</row>
    <row r="700" spans="1:39" ht="15.75" customHeight="1" x14ac:dyDescent="0.2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</row>
    <row r="701" spans="1:39" ht="15.75" customHeight="1" x14ac:dyDescent="0.2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</row>
    <row r="702" spans="1:39" ht="15.75" customHeight="1" x14ac:dyDescent="0.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</row>
    <row r="703" spans="1:39" ht="15.75" customHeight="1" x14ac:dyDescent="0.2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</row>
    <row r="704" spans="1:39" ht="15.75" customHeight="1" x14ac:dyDescent="0.2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</row>
    <row r="705" spans="1:39" ht="15.75" customHeight="1" x14ac:dyDescent="0.2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</row>
    <row r="706" spans="1:39" ht="15.75" customHeight="1" x14ac:dyDescent="0.2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</row>
    <row r="707" spans="1:39" ht="15.75" customHeight="1" x14ac:dyDescent="0.2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</row>
    <row r="708" spans="1:39" ht="15.75" customHeight="1" x14ac:dyDescent="0.2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</row>
    <row r="709" spans="1:39" ht="15.75" customHeight="1" x14ac:dyDescent="0.2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</row>
    <row r="710" spans="1:39" ht="15.75" customHeight="1" x14ac:dyDescent="0.2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</row>
    <row r="711" spans="1:39" ht="15.75" customHeight="1" x14ac:dyDescent="0.2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</row>
    <row r="712" spans="1:39" ht="15.75" customHeight="1" x14ac:dyDescent="0.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</row>
    <row r="713" spans="1:39" ht="15.75" customHeight="1" x14ac:dyDescent="0.2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</row>
    <row r="714" spans="1:39" ht="15.75" customHeight="1" x14ac:dyDescent="0.2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</row>
    <row r="715" spans="1:39" ht="15.75" customHeight="1" x14ac:dyDescent="0.2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</row>
    <row r="716" spans="1:39" ht="15.75" customHeight="1" x14ac:dyDescent="0.2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</row>
    <row r="717" spans="1:39" ht="15.75" customHeight="1" x14ac:dyDescent="0.2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</row>
    <row r="718" spans="1:39" ht="15.75" customHeight="1" x14ac:dyDescent="0.2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</row>
    <row r="719" spans="1:39" ht="15.75" customHeight="1" x14ac:dyDescent="0.2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</row>
    <row r="720" spans="1:39" ht="15.75" customHeight="1" x14ac:dyDescent="0.2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</row>
    <row r="721" spans="1:39" ht="15.75" customHeight="1" x14ac:dyDescent="0.2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</row>
    <row r="722" spans="1:39" ht="15.75" customHeight="1" x14ac:dyDescent="0.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</row>
    <row r="723" spans="1:39" ht="15.75" customHeight="1" x14ac:dyDescent="0.2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</row>
    <row r="724" spans="1:39" ht="15.75" customHeight="1" x14ac:dyDescent="0.2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</row>
    <row r="725" spans="1:39" ht="15.75" customHeight="1" x14ac:dyDescent="0.2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</row>
    <row r="726" spans="1:39" ht="15.75" customHeight="1" x14ac:dyDescent="0.2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</row>
    <row r="727" spans="1:39" ht="15.75" customHeight="1" x14ac:dyDescent="0.2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</row>
    <row r="728" spans="1:39" ht="15.75" customHeight="1" x14ac:dyDescent="0.2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</row>
    <row r="729" spans="1:39" ht="15.75" customHeight="1" x14ac:dyDescent="0.2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</row>
    <row r="730" spans="1:39" ht="15.75" customHeight="1" x14ac:dyDescent="0.2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</row>
    <row r="731" spans="1:39" ht="15.75" customHeight="1" x14ac:dyDescent="0.2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</row>
    <row r="732" spans="1:39" ht="15.75" customHeight="1" x14ac:dyDescent="0.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</row>
    <row r="733" spans="1:39" ht="15.75" customHeight="1" x14ac:dyDescent="0.2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</row>
    <row r="734" spans="1:39" ht="15.75" customHeight="1" x14ac:dyDescent="0.2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</row>
    <row r="735" spans="1:39" ht="15.75" customHeight="1" x14ac:dyDescent="0.2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</row>
    <row r="736" spans="1:39" ht="15.75" customHeight="1" x14ac:dyDescent="0.2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</row>
    <row r="737" spans="1:39" ht="15.75" customHeight="1" x14ac:dyDescent="0.2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</row>
    <row r="738" spans="1:39" ht="15.75" customHeight="1" x14ac:dyDescent="0.2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</row>
    <row r="739" spans="1:39" ht="15.75" customHeight="1" x14ac:dyDescent="0.2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</row>
    <row r="740" spans="1:39" ht="15.75" customHeight="1" x14ac:dyDescent="0.2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</row>
    <row r="741" spans="1:39" ht="15.75" customHeight="1" x14ac:dyDescent="0.2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</row>
    <row r="742" spans="1:39" ht="15.75" customHeight="1" x14ac:dyDescent="0.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</row>
    <row r="743" spans="1:39" ht="15.75" customHeight="1" x14ac:dyDescent="0.2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</row>
    <row r="744" spans="1:39" ht="15.75" customHeight="1" x14ac:dyDescent="0.2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</row>
    <row r="745" spans="1:39" ht="15.75" customHeight="1" x14ac:dyDescent="0.2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</row>
    <row r="746" spans="1:39" ht="15.75" customHeight="1" x14ac:dyDescent="0.2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</row>
    <row r="747" spans="1:39" ht="15.75" customHeight="1" x14ac:dyDescent="0.2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</row>
    <row r="748" spans="1:39" ht="15.75" customHeight="1" x14ac:dyDescent="0.2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</row>
    <row r="749" spans="1:39" ht="15.75" customHeight="1" x14ac:dyDescent="0.2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</row>
    <row r="750" spans="1:39" ht="15.75" customHeight="1" x14ac:dyDescent="0.2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</row>
    <row r="751" spans="1:39" ht="15.75" customHeight="1" x14ac:dyDescent="0.2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</row>
    <row r="752" spans="1:39" ht="15.75" customHeight="1" x14ac:dyDescent="0.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</row>
    <row r="753" spans="1:39" ht="15.75" customHeight="1" x14ac:dyDescent="0.2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</row>
    <row r="754" spans="1:39" ht="15.75" customHeight="1" x14ac:dyDescent="0.2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</row>
    <row r="755" spans="1:39" ht="15.75" customHeight="1" x14ac:dyDescent="0.2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</row>
    <row r="756" spans="1:39" ht="15.75" customHeight="1" x14ac:dyDescent="0.2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</row>
    <row r="757" spans="1:39" ht="15.75" customHeight="1" x14ac:dyDescent="0.2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</row>
    <row r="758" spans="1:39" ht="15.75" customHeight="1" x14ac:dyDescent="0.2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</row>
    <row r="759" spans="1:39" ht="15.75" customHeight="1" x14ac:dyDescent="0.2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</row>
    <row r="760" spans="1:39" ht="15.75" customHeight="1" x14ac:dyDescent="0.2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</row>
    <row r="761" spans="1:39" ht="15.75" customHeight="1" x14ac:dyDescent="0.2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</row>
    <row r="762" spans="1:39" ht="15.75" customHeight="1" x14ac:dyDescent="0.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</row>
    <row r="763" spans="1:39" ht="15.75" customHeight="1" x14ac:dyDescent="0.2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</row>
    <row r="764" spans="1:39" ht="15.75" customHeight="1" x14ac:dyDescent="0.2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</row>
    <row r="765" spans="1:39" ht="15.75" customHeight="1" x14ac:dyDescent="0.2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</row>
    <row r="766" spans="1:39" ht="15.75" customHeight="1" x14ac:dyDescent="0.2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</row>
    <row r="767" spans="1:39" ht="15.75" customHeight="1" x14ac:dyDescent="0.2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</row>
    <row r="768" spans="1:39" ht="15.75" customHeight="1" x14ac:dyDescent="0.2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</row>
    <row r="769" spans="1:39" ht="15.75" customHeight="1" x14ac:dyDescent="0.2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</row>
    <row r="770" spans="1:39" ht="15.75" customHeight="1" x14ac:dyDescent="0.2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</row>
    <row r="771" spans="1:39" ht="15.75" customHeight="1" x14ac:dyDescent="0.2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</row>
    <row r="772" spans="1:39" ht="15.75" customHeight="1" x14ac:dyDescent="0.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</row>
    <row r="773" spans="1:39" ht="15.75" customHeight="1" x14ac:dyDescent="0.2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</row>
    <row r="774" spans="1:39" ht="15.75" customHeight="1" x14ac:dyDescent="0.2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</row>
    <row r="775" spans="1:39" ht="15.75" customHeight="1" x14ac:dyDescent="0.2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</row>
    <row r="776" spans="1:39" ht="15.75" customHeight="1" x14ac:dyDescent="0.2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</row>
    <row r="777" spans="1:39" ht="15.75" customHeight="1" x14ac:dyDescent="0.2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</row>
    <row r="778" spans="1:39" ht="15.75" customHeight="1" x14ac:dyDescent="0.2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</row>
    <row r="779" spans="1:39" ht="15.75" customHeight="1" x14ac:dyDescent="0.2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</row>
    <row r="780" spans="1:39" ht="15.75" customHeight="1" x14ac:dyDescent="0.2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</row>
    <row r="781" spans="1:39" ht="15.75" customHeight="1" x14ac:dyDescent="0.2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</row>
    <row r="782" spans="1:39" ht="15.75" customHeight="1" x14ac:dyDescent="0.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</row>
    <row r="783" spans="1:39" ht="15.75" customHeight="1" x14ac:dyDescent="0.2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</row>
    <row r="784" spans="1:39" ht="15.75" customHeight="1" x14ac:dyDescent="0.2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</row>
    <row r="785" spans="1:39" ht="15.75" customHeight="1" x14ac:dyDescent="0.2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</row>
    <row r="786" spans="1:39" ht="15.75" customHeight="1" x14ac:dyDescent="0.2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</row>
    <row r="787" spans="1:39" ht="15.75" customHeight="1" x14ac:dyDescent="0.2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</row>
    <row r="788" spans="1:39" ht="15.75" customHeight="1" x14ac:dyDescent="0.2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</row>
    <row r="789" spans="1:39" ht="15.75" customHeight="1" x14ac:dyDescent="0.2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</row>
    <row r="790" spans="1:39" ht="15.75" customHeight="1" x14ac:dyDescent="0.2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</row>
    <row r="791" spans="1:39" ht="15.75" customHeight="1" x14ac:dyDescent="0.2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</row>
    <row r="792" spans="1:39" ht="15.75" customHeight="1" x14ac:dyDescent="0.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</row>
    <row r="793" spans="1:39" ht="15.75" customHeight="1" x14ac:dyDescent="0.2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</row>
    <row r="794" spans="1:39" ht="15.75" customHeight="1" x14ac:dyDescent="0.2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</row>
    <row r="795" spans="1:39" ht="15.75" customHeight="1" x14ac:dyDescent="0.2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</row>
    <row r="796" spans="1:39" ht="15.75" customHeight="1" x14ac:dyDescent="0.2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</row>
    <row r="797" spans="1:39" ht="15.75" customHeight="1" x14ac:dyDescent="0.2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</row>
    <row r="798" spans="1:39" ht="15.75" customHeight="1" x14ac:dyDescent="0.2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</row>
    <row r="799" spans="1:39" ht="15.75" customHeight="1" x14ac:dyDescent="0.2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</row>
    <row r="800" spans="1:39" ht="15.75" customHeight="1" x14ac:dyDescent="0.2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</row>
    <row r="801" spans="1:39" ht="15.75" customHeight="1" x14ac:dyDescent="0.2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</row>
    <row r="802" spans="1:39" ht="15.75" customHeight="1" x14ac:dyDescent="0.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</row>
    <row r="803" spans="1:39" ht="15.75" customHeight="1" x14ac:dyDescent="0.2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</row>
    <row r="804" spans="1:39" ht="15.75" customHeight="1" x14ac:dyDescent="0.2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</row>
    <row r="805" spans="1:39" ht="15.75" customHeight="1" x14ac:dyDescent="0.2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</row>
    <row r="806" spans="1:39" ht="15.75" customHeight="1" x14ac:dyDescent="0.2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</row>
    <row r="807" spans="1:39" ht="15.75" customHeight="1" x14ac:dyDescent="0.2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</row>
    <row r="808" spans="1:39" ht="15.75" customHeight="1" x14ac:dyDescent="0.2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</row>
    <row r="809" spans="1:39" ht="15.75" customHeight="1" x14ac:dyDescent="0.2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</row>
    <row r="810" spans="1:39" ht="15.75" customHeight="1" x14ac:dyDescent="0.2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</row>
    <row r="811" spans="1:39" ht="15.75" customHeight="1" x14ac:dyDescent="0.2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</row>
    <row r="812" spans="1:39" ht="15.75" customHeight="1" x14ac:dyDescent="0.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</row>
    <row r="813" spans="1:39" ht="15.75" customHeight="1" x14ac:dyDescent="0.2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</row>
    <row r="814" spans="1:39" ht="15.75" customHeight="1" x14ac:dyDescent="0.2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</row>
    <row r="815" spans="1:39" ht="15.75" customHeight="1" x14ac:dyDescent="0.2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</row>
    <row r="816" spans="1:39" ht="15.75" customHeight="1" x14ac:dyDescent="0.2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</row>
    <row r="817" spans="1:39" ht="15.75" customHeight="1" x14ac:dyDescent="0.2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</row>
    <row r="818" spans="1:39" ht="15.75" customHeight="1" x14ac:dyDescent="0.2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</row>
    <row r="819" spans="1:39" ht="15.75" customHeight="1" x14ac:dyDescent="0.2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</row>
    <row r="820" spans="1:39" ht="15.75" customHeight="1" x14ac:dyDescent="0.2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</row>
    <row r="821" spans="1:39" ht="15.75" customHeight="1" x14ac:dyDescent="0.2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</row>
    <row r="822" spans="1:39" ht="15.75" customHeight="1" x14ac:dyDescent="0.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</row>
    <row r="823" spans="1:39" ht="15.75" customHeight="1" x14ac:dyDescent="0.2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</row>
    <row r="824" spans="1:39" ht="15.75" customHeight="1" x14ac:dyDescent="0.2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</row>
    <row r="825" spans="1:39" ht="15.75" customHeight="1" x14ac:dyDescent="0.2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</row>
    <row r="826" spans="1:39" ht="15.75" customHeight="1" x14ac:dyDescent="0.2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</row>
    <row r="827" spans="1:39" ht="15.75" customHeight="1" x14ac:dyDescent="0.2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</row>
    <row r="828" spans="1:39" ht="15.75" customHeight="1" x14ac:dyDescent="0.2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</row>
    <row r="829" spans="1:39" ht="15.75" customHeight="1" x14ac:dyDescent="0.2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</row>
    <row r="830" spans="1:39" ht="15.75" customHeight="1" x14ac:dyDescent="0.2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</row>
    <row r="831" spans="1:39" ht="15.75" customHeight="1" x14ac:dyDescent="0.2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</row>
    <row r="832" spans="1:39" ht="15.75" customHeight="1" x14ac:dyDescent="0.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</row>
    <row r="833" spans="1:39" ht="15.75" customHeight="1" x14ac:dyDescent="0.2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</row>
    <row r="834" spans="1:39" ht="15.75" customHeight="1" x14ac:dyDescent="0.2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</row>
    <row r="835" spans="1:39" ht="15.75" customHeight="1" x14ac:dyDescent="0.2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</row>
    <row r="836" spans="1:39" ht="15.75" customHeight="1" x14ac:dyDescent="0.2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</row>
    <row r="837" spans="1:39" ht="15.75" customHeight="1" x14ac:dyDescent="0.2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</row>
    <row r="838" spans="1:39" ht="15.75" customHeight="1" x14ac:dyDescent="0.2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</row>
    <row r="839" spans="1:39" ht="15.75" customHeight="1" x14ac:dyDescent="0.2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</row>
    <row r="840" spans="1:39" ht="15.75" customHeight="1" x14ac:dyDescent="0.2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</row>
    <row r="841" spans="1:39" ht="15.75" customHeight="1" x14ac:dyDescent="0.2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</row>
    <row r="842" spans="1:39" ht="15.75" customHeight="1" x14ac:dyDescent="0.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</row>
    <row r="843" spans="1:39" ht="15.75" customHeight="1" x14ac:dyDescent="0.2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</row>
    <row r="844" spans="1:39" ht="15.75" customHeight="1" x14ac:dyDescent="0.2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</row>
    <row r="845" spans="1:39" ht="15.75" customHeight="1" x14ac:dyDescent="0.2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</row>
    <row r="846" spans="1:39" ht="15.75" customHeight="1" x14ac:dyDescent="0.2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</row>
    <row r="847" spans="1:39" ht="15.75" customHeight="1" x14ac:dyDescent="0.2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</row>
    <row r="848" spans="1:39" ht="15.75" customHeight="1" x14ac:dyDescent="0.2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</row>
    <row r="849" spans="1:39" ht="15.75" customHeight="1" x14ac:dyDescent="0.2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</row>
    <row r="850" spans="1:39" ht="15.75" customHeight="1" x14ac:dyDescent="0.2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</row>
    <row r="851" spans="1:39" ht="15.75" customHeight="1" x14ac:dyDescent="0.2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</row>
    <row r="852" spans="1:39" ht="15.75" customHeight="1" x14ac:dyDescent="0.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</row>
    <row r="853" spans="1:39" ht="15.75" customHeight="1" x14ac:dyDescent="0.2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</row>
    <row r="854" spans="1:39" ht="15.75" customHeight="1" x14ac:dyDescent="0.2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</row>
    <row r="855" spans="1:39" ht="15.75" customHeight="1" x14ac:dyDescent="0.2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</row>
    <row r="856" spans="1:39" ht="15.75" customHeight="1" x14ac:dyDescent="0.2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</row>
    <row r="857" spans="1:39" ht="15.75" customHeight="1" x14ac:dyDescent="0.2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</row>
    <row r="858" spans="1:39" ht="15.75" customHeight="1" x14ac:dyDescent="0.2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</row>
    <row r="859" spans="1:39" ht="15.75" customHeight="1" x14ac:dyDescent="0.2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</row>
    <row r="860" spans="1:39" ht="15.75" customHeight="1" x14ac:dyDescent="0.2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</row>
    <row r="861" spans="1:39" ht="15.75" customHeight="1" x14ac:dyDescent="0.2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</row>
    <row r="862" spans="1:39" ht="15.75" customHeight="1" x14ac:dyDescent="0.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</row>
    <row r="863" spans="1:39" ht="15.75" customHeight="1" x14ac:dyDescent="0.2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</row>
    <row r="864" spans="1:39" ht="15.75" customHeight="1" x14ac:dyDescent="0.2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</row>
    <row r="865" spans="1:39" ht="15.75" customHeight="1" x14ac:dyDescent="0.2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</row>
    <row r="866" spans="1:39" ht="15.75" customHeight="1" x14ac:dyDescent="0.2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</row>
    <row r="867" spans="1:39" ht="15.75" customHeight="1" x14ac:dyDescent="0.2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</row>
    <row r="868" spans="1:39" ht="15.75" customHeight="1" x14ac:dyDescent="0.2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</row>
    <row r="869" spans="1:39" ht="15.75" customHeight="1" x14ac:dyDescent="0.2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</row>
    <row r="870" spans="1:39" ht="15.75" customHeight="1" x14ac:dyDescent="0.2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</row>
    <row r="871" spans="1:39" ht="15.75" customHeight="1" x14ac:dyDescent="0.2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</row>
    <row r="872" spans="1:39" ht="15.75" customHeight="1" x14ac:dyDescent="0.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</row>
    <row r="873" spans="1:39" ht="15.75" customHeight="1" x14ac:dyDescent="0.2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</row>
    <row r="874" spans="1:39" ht="15.75" customHeight="1" x14ac:dyDescent="0.2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</row>
    <row r="875" spans="1:39" ht="15.75" customHeight="1" x14ac:dyDescent="0.2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</row>
    <row r="876" spans="1:39" ht="15.75" customHeight="1" x14ac:dyDescent="0.2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</row>
    <row r="877" spans="1:39" ht="15.75" customHeight="1" x14ac:dyDescent="0.2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</row>
    <row r="878" spans="1:39" ht="15.75" customHeight="1" x14ac:dyDescent="0.2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</row>
    <row r="879" spans="1:39" ht="15.75" customHeight="1" x14ac:dyDescent="0.2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</row>
    <row r="880" spans="1:39" ht="15.75" customHeight="1" x14ac:dyDescent="0.2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</row>
    <row r="881" spans="1:39" ht="15.75" customHeight="1" x14ac:dyDescent="0.2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</row>
    <row r="882" spans="1:39" ht="15.75" customHeight="1" x14ac:dyDescent="0.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</row>
    <row r="883" spans="1:39" ht="15.75" customHeight="1" x14ac:dyDescent="0.2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</row>
    <row r="884" spans="1:39" ht="15.75" customHeight="1" x14ac:dyDescent="0.2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</row>
    <row r="885" spans="1:39" ht="15.75" customHeight="1" x14ac:dyDescent="0.2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</row>
    <row r="886" spans="1:39" ht="15.75" customHeight="1" x14ac:dyDescent="0.2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</row>
    <row r="887" spans="1:39" ht="15.75" customHeight="1" x14ac:dyDescent="0.2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</row>
    <row r="888" spans="1:39" ht="15.75" customHeight="1" x14ac:dyDescent="0.2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</row>
    <row r="889" spans="1:39" ht="15.75" customHeight="1" x14ac:dyDescent="0.2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</row>
    <row r="890" spans="1:39" ht="15.75" customHeight="1" x14ac:dyDescent="0.2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</row>
    <row r="891" spans="1:39" ht="15.75" customHeight="1" x14ac:dyDescent="0.2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</row>
    <row r="892" spans="1:39" ht="15.75" customHeight="1" x14ac:dyDescent="0.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</row>
    <row r="893" spans="1:39" ht="15.75" customHeight="1" x14ac:dyDescent="0.2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</row>
    <row r="894" spans="1:39" ht="15.75" customHeight="1" x14ac:dyDescent="0.2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</row>
    <row r="895" spans="1:39" ht="15.75" customHeight="1" x14ac:dyDescent="0.2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</row>
    <row r="896" spans="1:39" ht="15.75" customHeight="1" x14ac:dyDescent="0.2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</row>
    <row r="897" spans="1:39" ht="15.75" customHeight="1" x14ac:dyDescent="0.2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</row>
    <row r="898" spans="1:39" ht="15.75" customHeight="1" x14ac:dyDescent="0.2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</row>
    <row r="899" spans="1:39" ht="15.75" customHeight="1" x14ac:dyDescent="0.2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</row>
    <row r="900" spans="1:39" ht="15.75" customHeight="1" x14ac:dyDescent="0.2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</row>
    <row r="901" spans="1:39" ht="15.75" customHeight="1" x14ac:dyDescent="0.2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</row>
    <row r="902" spans="1:39" ht="15.75" customHeight="1" x14ac:dyDescent="0.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</row>
    <row r="903" spans="1:39" ht="15.75" customHeight="1" x14ac:dyDescent="0.2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</row>
    <row r="904" spans="1:39" ht="15.75" customHeight="1" x14ac:dyDescent="0.2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</row>
    <row r="905" spans="1:39" ht="15.75" customHeight="1" x14ac:dyDescent="0.2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</row>
    <row r="906" spans="1:39" ht="15.75" customHeight="1" x14ac:dyDescent="0.2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</row>
    <row r="907" spans="1:39" ht="15.75" customHeight="1" x14ac:dyDescent="0.2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</row>
    <row r="908" spans="1:39" ht="15.75" customHeight="1" x14ac:dyDescent="0.2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</row>
    <row r="909" spans="1:39" ht="15.75" customHeight="1" x14ac:dyDescent="0.2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</row>
    <row r="910" spans="1:39" ht="15.75" customHeight="1" x14ac:dyDescent="0.2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</row>
    <row r="911" spans="1:39" ht="15.75" customHeight="1" x14ac:dyDescent="0.2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</row>
    <row r="912" spans="1:39" ht="15.75" customHeight="1" x14ac:dyDescent="0.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</row>
    <row r="913" spans="1:39" ht="15.75" customHeight="1" x14ac:dyDescent="0.2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</row>
    <row r="914" spans="1:39" ht="15.75" customHeight="1" x14ac:dyDescent="0.2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</row>
    <row r="915" spans="1:39" ht="15.75" customHeight="1" x14ac:dyDescent="0.2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</row>
    <row r="916" spans="1:39" ht="15.75" customHeight="1" x14ac:dyDescent="0.2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</row>
    <row r="917" spans="1:39" ht="15.75" customHeight="1" x14ac:dyDescent="0.2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</row>
    <row r="918" spans="1:39" ht="15.75" customHeight="1" x14ac:dyDescent="0.2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</row>
    <row r="919" spans="1:39" ht="15.75" customHeight="1" x14ac:dyDescent="0.2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</row>
    <row r="920" spans="1:39" ht="15.75" customHeight="1" x14ac:dyDescent="0.2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</row>
    <row r="921" spans="1:39" ht="15.75" customHeight="1" x14ac:dyDescent="0.2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</row>
    <row r="922" spans="1:39" ht="15.75" customHeight="1" x14ac:dyDescent="0.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</row>
    <row r="923" spans="1:39" ht="15.75" customHeight="1" x14ac:dyDescent="0.2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</row>
    <row r="924" spans="1:39" ht="15.75" customHeight="1" x14ac:dyDescent="0.2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</row>
    <row r="925" spans="1:39" ht="15.75" customHeight="1" x14ac:dyDescent="0.2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</row>
    <row r="926" spans="1:39" ht="15.75" customHeight="1" x14ac:dyDescent="0.2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</row>
    <row r="927" spans="1:39" ht="15.75" customHeight="1" x14ac:dyDescent="0.2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</row>
    <row r="928" spans="1:39" ht="15.75" customHeight="1" x14ac:dyDescent="0.2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</row>
    <row r="929" spans="1:39" ht="15.75" customHeight="1" x14ac:dyDescent="0.2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</row>
    <row r="930" spans="1:39" ht="15.75" customHeight="1" x14ac:dyDescent="0.2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</row>
    <row r="931" spans="1:39" ht="15.75" customHeight="1" x14ac:dyDescent="0.2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</row>
    <row r="932" spans="1:39" ht="15.75" customHeight="1" x14ac:dyDescent="0.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</row>
    <row r="933" spans="1:39" ht="15.75" customHeight="1" x14ac:dyDescent="0.2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</row>
    <row r="934" spans="1:39" ht="15.75" customHeight="1" x14ac:dyDescent="0.2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</row>
    <row r="935" spans="1:39" ht="15.75" customHeight="1" x14ac:dyDescent="0.2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</row>
    <row r="936" spans="1:39" ht="15.75" customHeight="1" x14ac:dyDescent="0.2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</row>
    <row r="937" spans="1:39" ht="15.75" customHeight="1" x14ac:dyDescent="0.2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</row>
    <row r="938" spans="1:39" ht="15.75" customHeight="1" x14ac:dyDescent="0.2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</row>
    <row r="939" spans="1:39" ht="15.75" customHeight="1" x14ac:dyDescent="0.2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</row>
    <row r="940" spans="1:39" ht="15.75" customHeight="1" x14ac:dyDescent="0.2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</row>
    <row r="941" spans="1:39" ht="15.75" customHeight="1" x14ac:dyDescent="0.2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</row>
    <row r="942" spans="1:39" ht="15.75" customHeight="1" x14ac:dyDescent="0.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</row>
    <row r="943" spans="1:39" ht="15.75" customHeight="1" x14ac:dyDescent="0.2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</row>
    <row r="944" spans="1:39" ht="15.75" customHeight="1" x14ac:dyDescent="0.2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</row>
    <row r="945" spans="1:39" ht="15.75" customHeight="1" x14ac:dyDescent="0.2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</row>
    <row r="946" spans="1:39" ht="15.75" customHeight="1" x14ac:dyDescent="0.2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</row>
    <row r="947" spans="1:39" ht="15.75" customHeight="1" x14ac:dyDescent="0.2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</row>
    <row r="948" spans="1:39" ht="15.75" customHeight="1" x14ac:dyDescent="0.2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</row>
    <row r="949" spans="1:39" ht="15.75" customHeight="1" x14ac:dyDescent="0.2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</row>
    <row r="950" spans="1:39" ht="15.75" customHeight="1" x14ac:dyDescent="0.2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</row>
    <row r="951" spans="1:39" ht="15.75" customHeight="1" x14ac:dyDescent="0.2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</row>
    <row r="952" spans="1:39" ht="15.75" customHeight="1" x14ac:dyDescent="0.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</row>
    <row r="953" spans="1:39" ht="15.75" customHeight="1" x14ac:dyDescent="0.2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</row>
    <row r="954" spans="1:39" ht="15.75" customHeight="1" x14ac:dyDescent="0.2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</row>
    <row r="955" spans="1:39" ht="15.75" customHeight="1" x14ac:dyDescent="0.2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</row>
    <row r="956" spans="1:39" ht="15.75" customHeight="1" x14ac:dyDescent="0.2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</row>
    <row r="957" spans="1:39" ht="15.75" customHeight="1" x14ac:dyDescent="0.2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</row>
    <row r="958" spans="1:39" ht="15.75" customHeight="1" x14ac:dyDescent="0.2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</row>
    <row r="959" spans="1:39" ht="15.75" customHeight="1" x14ac:dyDescent="0.2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</row>
    <row r="960" spans="1:39" ht="15.75" customHeight="1" x14ac:dyDescent="0.2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</row>
    <row r="961" spans="1:39" ht="15.75" customHeight="1" x14ac:dyDescent="0.2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</row>
    <row r="962" spans="1:39" ht="15.75" customHeight="1" x14ac:dyDescent="0.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</row>
    <row r="963" spans="1:39" ht="15.75" customHeight="1" x14ac:dyDescent="0.2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</row>
    <row r="964" spans="1:39" ht="15.75" customHeight="1" x14ac:dyDescent="0.2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</row>
    <row r="965" spans="1:39" ht="15.75" customHeight="1" x14ac:dyDescent="0.2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</row>
    <row r="966" spans="1:39" ht="15.75" customHeight="1" x14ac:dyDescent="0.2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</row>
    <row r="967" spans="1:39" ht="15.75" customHeight="1" x14ac:dyDescent="0.2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</row>
    <row r="968" spans="1:39" ht="15.75" customHeight="1" x14ac:dyDescent="0.2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</row>
    <row r="969" spans="1:39" ht="15.75" customHeight="1" x14ac:dyDescent="0.2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</row>
    <row r="970" spans="1:39" ht="15.75" customHeight="1" x14ac:dyDescent="0.2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</row>
    <row r="971" spans="1:39" ht="15.75" customHeight="1" x14ac:dyDescent="0.2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</row>
    <row r="972" spans="1:39" ht="15.75" customHeight="1" x14ac:dyDescent="0.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</row>
    <row r="973" spans="1:39" ht="15.75" customHeight="1" x14ac:dyDescent="0.2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</row>
    <row r="974" spans="1:39" ht="15.75" customHeight="1" x14ac:dyDescent="0.2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</row>
    <row r="975" spans="1:39" ht="15.75" customHeight="1" x14ac:dyDescent="0.2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</row>
    <row r="976" spans="1:39" ht="15.75" customHeight="1" x14ac:dyDescent="0.2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</row>
    <row r="977" spans="1:39" ht="15.75" customHeight="1" x14ac:dyDescent="0.2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</row>
    <row r="978" spans="1:39" ht="15.75" customHeight="1" x14ac:dyDescent="0.2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</row>
    <row r="979" spans="1:39" ht="15.75" customHeight="1" x14ac:dyDescent="0.2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</row>
    <row r="980" spans="1:39" ht="15.75" customHeight="1" x14ac:dyDescent="0.2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</row>
    <row r="981" spans="1:39" ht="15.75" customHeight="1" x14ac:dyDescent="0.2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</row>
    <row r="982" spans="1:39" ht="15.75" customHeight="1" x14ac:dyDescent="0.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</row>
    <row r="983" spans="1:39" ht="15.75" customHeight="1" x14ac:dyDescent="0.2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</row>
    <row r="984" spans="1:39" ht="15.75" customHeight="1" x14ac:dyDescent="0.2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</row>
    <row r="985" spans="1:39" ht="15.75" customHeight="1" x14ac:dyDescent="0.2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</row>
    <row r="986" spans="1:39" ht="15.75" customHeight="1" x14ac:dyDescent="0.2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</row>
    <row r="987" spans="1:39" ht="15.75" customHeight="1" x14ac:dyDescent="0.2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</row>
    <row r="988" spans="1:39" ht="15.75" customHeight="1" x14ac:dyDescent="0.2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</row>
    <row r="989" spans="1:39" ht="15.75" customHeight="1" x14ac:dyDescent="0.2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</row>
    <row r="990" spans="1:39" ht="15.75" customHeight="1" x14ac:dyDescent="0.2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</row>
    <row r="991" spans="1:39" ht="15.75" customHeight="1" x14ac:dyDescent="0.2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</row>
    <row r="992" spans="1:39" ht="15.75" customHeight="1" x14ac:dyDescent="0.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</row>
    <row r="993" spans="1:39" ht="15.75" customHeight="1" x14ac:dyDescent="0.2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</row>
    <row r="994" spans="1:39" ht="15.75" customHeight="1" x14ac:dyDescent="0.2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</row>
    <row r="995" spans="1:39" ht="15.75" customHeight="1" x14ac:dyDescent="0.2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</row>
    <row r="996" spans="1:39" ht="15.75" customHeight="1" x14ac:dyDescent="0.2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</row>
    <row r="997" spans="1:39" ht="15.75" customHeight="1" x14ac:dyDescent="0.2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</row>
    <row r="998" spans="1:39" ht="15.75" customHeight="1" x14ac:dyDescent="0.2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</row>
    <row r="999" spans="1:39" ht="15.75" customHeight="1" x14ac:dyDescent="0.2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</row>
    <row r="1000" spans="1:39" ht="15.75" customHeight="1" x14ac:dyDescent="0.2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</row>
    <row r="1001" spans="1:39" ht="15.75" customHeight="1" x14ac:dyDescent="0.2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</row>
    <row r="1002" spans="1:39" ht="15.75" customHeight="1" x14ac:dyDescent="0.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</row>
    <row r="1003" spans="1:39" ht="15.75" customHeight="1" x14ac:dyDescent="0.2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</row>
    <row r="1004" spans="1:39" ht="15.75" customHeight="1" x14ac:dyDescent="0.2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</row>
    <row r="1005" spans="1:39" ht="15.75" customHeight="1" x14ac:dyDescent="0.2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</row>
    <row r="1006" spans="1:39" ht="15.75" customHeight="1" x14ac:dyDescent="0.2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</row>
    <row r="1007" spans="1:39" ht="15.75" customHeight="1" x14ac:dyDescent="0.2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</row>
    <row r="1008" spans="1:39" ht="15.75" customHeight="1" x14ac:dyDescent="0.2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</row>
    <row r="1009" spans="1:39" ht="15.75" customHeight="1" x14ac:dyDescent="0.2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</row>
    <row r="1010" spans="1:39" ht="15.75" customHeight="1" x14ac:dyDescent="0.2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</row>
    <row r="1011" spans="1:39" ht="15.75" customHeight="1" x14ac:dyDescent="0.2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</row>
    <row r="1012" spans="1:39" ht="15.75" customHeight="1" x14ac:dyDescent="0.2">
      <c r="A1012" s="61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</row>
    <row r="1013" spans="1:39" ht="15.75" customHeight="1" x14ac:dyDescent="0.2">
      <c r="A1013" s="61"/>
      <c r="B1013" s="61"/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</row>
    <row r="1014" spans="1:39" ht="15.75" customHeight="1" x14ac:dyDescent="0.2">
      <c r="A1014" s="61"/>
      <c r="B1014" s="61"/>
      <c r="C1014" s="61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</row>
    <row r="1015" spans="1:39" ht="15.75" customHeight="1" x14ac:dyDescent="0.2">
      <c r="A1015" s="61"/>
      <c r="B1015" s="61"/>
      <c r="C1015" s="61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  <c r="AH1015" s="61"/>
      <c r="AI1015" s="61"/>
      <c r="AJ1015" s="61"/>
      <c r="AK1015" s="61"/>
      <c r="AL1015" s="61"/>
      <c r="AM1015" s="61"/>
    </row>
    <row r="1016" spans="1:39" ht="15.75" customHeight="1" x14ac:dyDescent="0.2">
      <c r="A1016" s="61"/>
      <c r="B1016" s="61"/>
      <c r="C1016" s="61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  <c r="AH1016" s="61"/>
      <c r="AI1016" s="61"/>
      <c r="AJ1016" s="61"/>
      <c r="AK1016" s="61"/>
      <c r="AL1016" s="61"/>
      <c r="AM1016" s="61"/>
    </row>
    <row r="1017" spans="1:39" ht="15.75" customHeight="1" x14ac:dyDescent="0.2">
      <c r="A1017" s="61"/>
      <c r="B1017" s="61"/>
      <c r="C1017" s="61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  <c r="AH1017" s="61"/>
      <c r="AI1017" s="61"/>
      <c r="AJ1017" s="61"/>
      <c r="AK1017" s="61"/>
      <c r="AL1017" s="61"/>
      <c r="AM1017" s="61"/>
    </row>
    <row r="1018" spans="1:39" ht="15.75" customHeight="1" x14ac:dyDescent="0.2">
      <c r="A1018" s="61"/>
      <c r="B1018" s="61"/>
      <c r="C1018" s="61"/>
      <c r="D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/>
      <c r="AM1018" s="61"/>
    </row>
    <row r="1019" spans="1:39" ht="15.75" customHeight="1" x14ac:dyDescent="0.2">
      <c r="A1019" s="61"/>
      <c r="B1019" s="61"/>
      <c r="C1019" s="61"/>
      <c r="D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</row>
    <row r="1020" spans="1:39" ht="15.75" customHeight="1" x14ac:dyDescent="0.2">
      <c r="A1020" s="61"/>
      <c r="B1020" s="61"/>
      <c r="C1020" s="61"/>
      <c r="D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</row>
    <row r="1021" spans="1:39" ht="15.75" customHeight="1" x14ac:dyDescent="0.2">
      <c r="A1021" s="61"/>
      <c r="B1021" s="61"/>
      <c r="C1021" s="61"/>
      <c r="D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  <c r="AH1021" s="61"/>
      <c r="AI1021" s="61"/>
      <c r="AJ1021" s="61"/>
      <c r="AK1021" s="61"/>
      <c r="AL1021" s="61"/>
      <c r="AM1021" s="61"/>
    </row>
    <row r="1022" spans="1:39" ht="15.75" customHeight="1" x14ac:dyDescent="0.2">
      <c r="A1022" s="61"/>
      <c r="B1022" s="61"/>
      <c r="C1022" s="61"/>
      <c r="D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</row>
    <row r="1023" spans="1:39" ht="15.75" customHeight="1" x14ac:dyDescent="0.2">
      <c r="A1023" s="61"/>
      <c r="B1023" s="61"/>
      <c r="C1023" s="61"/>
      <c r="D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  <c r="AH1023" s="61"/>
      <c r="AI1023" s="61"/>
      <c r="AJ1023" s="61"/>
      <c r="AK1023" s="61"/>
      <c r="AL1023" s="61"/>
      <c r="AM1023" s="61"/>
    </row>
    <row r="1024" spans="1:39" ht="15.75" customHeight="1" x14ac:dyDescent="0.2">
      <c r="A1024" s="61"/>
      <c r="B1024" s="61"/>
      <c r="C1024" s="61"/>
      <c r="D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  <c r="AH1024" s="61"/>
      <c r="AI1024" s="61"/>
      <c r="AJ1024" s="61"/>
      <c r="AK1024" s="61"/>
      <c r="AL1024" s="61"/>
      <c r="AM1024" s="61"/>
    </row>
    <row r="1025" spans="1:39" ht="15.75" customHeight="1" x14ac:dyDescent="0.2">
      <c r="A1025" s="61"/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</row>
    <row r="1026" spans="1:39" ht="15.75" customHeight="1" x14ac:dyDescent="0.2">
      <c r="A1026" s="61"/>
      <c r="B1026" s="61"/>
      <c r="C1026" s="61"/>
      <c r="D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</row>
    <row r="1027" spans="1:39" ht="15.75" customHeight="1" x14ac:dyDescent="0.2">
      <c r="A1027" s="61"/>
      <c r="B1027" s="61"/>
      <c r="C1027" s="61"/>
      <c r="D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  <c r="AH1027" s="61"/>
      <c r="AI1027" s="61"/>
      <c r="AJ1027" s="61"/>
      <c r="AK1027" s="61"/>
      <c r="AL1027" s="61"/>
      <c r="AM1027" s="61"/>
    </row>
    <row r="1028" spans="1:39" ht="15.75" customHeight="1" x14ac:dyDescent="0.2">
      <c r="A1028" s="61"/>
      <c r="B1028" s="61"/>
      <c r="C1028" s="61"/>
      <c r="D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  <c r="AH1028" s="61"/>
      <c r="AI1028" s="61"/>
      <c r="AJ1028" s="61"/>
      <c r="AK1028" s="61"/>
      <c r="AL1028" s="61"/>
      <c r="AM1028" s="61"/>
    </row>
    <row r="1029" spans="1:39" ht="15.75" customHeight="1" x14ac:dyDescent="0.2">
      <c r="A1029" s="61"/>
      <c r="B1029" s="61"/>
      <c r="C1029" s="61"/>
      <c r="D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</row>
    <row r="1030" spans="1:39" ht="15.75" customHeight="1" x14ac:dyDescent="0.2">
      <c r="A1030" s="61"/>
      <c r="B1030" s="61"/>
      <c r="C1030" s="61"/>
      <c r="D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</row>
    <row r="1031" spans="1:39" ht="15.75" customHeight="1" x14ac:dyDescent="0.2">
      <c r="A1031" s="61"/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</row>
    <row r="1032" spans="1:39" ht="15.75" customHeight="1" x14ac:dyDescent="0.2">
      <c r="A1032" s="61"/>
      <c r="B1032" s="61"/>
      <c r="C1032" s="61"/>
      <c r="D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</row>
    <row r="1033" spans="1:39" ht="15.75" customHeight="1" x14ac:dyDescent="0.2">
      <c r="A1033" s="61"/>
      <c r="B1033" s="61"/>
      <c r="C1033" s="61"/>
      <c r="D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  <c r="AD1033" s="61"/>
      <c r="AE1033" s="61"/>
      <c r="AF1033" s="61"/>
      <c r="AG1033" s="61"/>
      <c r="AH1033" s="61"/>
      <c r="AI1033" s="61"/>
      <c r="AJ1033" s="61"/>
      <c r="AK1033" s="61"/>
      <c r="AL1033" s="61"/>
      <c r="AM1033" s="61"/>
    </row>
    <row r="1034" spans="1:39" ht="15.75" customHeight="1" x14ac:dyDescent="0.2">
      <c r="A1034" s="61"/>
      <c r="B1034" s="61"/>
      <c r="C1034" s="61"/>
      <c r="D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</row>
    <row r="1035" spans="1:39" ht="15.75" customHeight="1" x14ac:dyDescent="0.2">
      <c r="A1035" s="61"/>
      <c r="B1035" s="61"/>
      <c r="C1035" s="61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  <c r="AD1035" s="61"/>
      <c r="AE1035" s="61"/>
      <c r="AF1035" s="61"/>
      <c r="AG1035" s="61"/>
      <c r="AH1035" s="61"/>
      <c r="AI1035" s="61"/>
      <c r="AJ1035" s="61"/>
      <c r="AK1035" s="61"/>
      <c r="AL1035" s="61"/>
      <c r="AM1035" s="61"/>
    </row>
    <row r="1036" spans="1:39" ht="15.75" customHeight="1" x14ac:dyDescent="0.2">
      <c r="A1036" s="61"/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  <c r="AD1036" s="61"/>
      <c r="AE1036" s="61"/>
      <c r="AF1036" s="61"/>
      <c r="AG1036" s="61"/>
      <c r="AH1036" s="61"/>
      <c r="AI1036" s="61"/>
      <c r="AJ1036" s="61"/>
      <c r="AK1036" s="61"/>
      <c r="AL1036" s="61"/>
      <c r="AM1036" s="61"/>
    </row>
    <row r="1037" spans="1:39" ht="15.75" customHeight="1" x14ac:dyDescent="0.2">
      <c r="A1037" s="61"/>
      <c r="B1037" s="61"/>
      <c r="C1037" s="61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</row>
    <row r="1038" spans="1:39" ht="15.75" customHeight="1" x14ac:dyDescent="0.2">
      <c r="A1038" s="61"/>
      <c r="B1038" s="61"/>
      <c r="C1038" s="61"/>
      <c r="D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  <c r="AH1038" s="61"/>
      <c r="AI1038" s="61"/>
      <c r="AJ1038" s="61"/>
      <c r="AK1038" s="61"/>
      <c r="AL1038" s="61"/>
      <c r="AM1038" s="61"/>
    </row>
    <row r="1039" spans="1:39" ht="15.75" customHeight="1" x14ac:dyDescent="0.2">
      <c r="A1039" s="61"/>
      <c r="B1039" s="61"/>
      <c r="C1039" s="61"/>
      <c r="D1039" s="61"/>
      <c r="E1039" s="61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  <c r="AD1039" s="61"/>
      <c r="AE1039" s="61"/>
      <c r="AF1039" s="61"/>
      <c r="AG1039" s="61"/>
      <c r="AH1039" s="61"/>
      <c r="AI1039" s="61"/>
      <c r="AJ1039" s="61"/>
      <c r="AK1039" s="61"/>
      <c r="AL1039" s="61"/>
      <c r="AM1039" s="61"/>
    </row>
    <row r="1040" spans="1:39" ht="15.75" customHeight="1" x14ac:dyDescent="0.2">
      <c r="A1040" s="61"/>
      <c r="B1040" s="61"/>
      <c r="C1040" s="61"/>
      <c r="D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  <c r="AH1040" s="61"/>
      <c r="AI1040" s="61"/>
      <c r="AJ1040" s="61"/>
      <c r="AK1040" s="61"/>
      <c r="AL1040" s="61"/>
      <c r="AM1040" s="61"/>
    </row>
    <row r="1041" spans="1:39" ht="15.75" customHeight="1" x14ac:dyDescent="0.2">
      <c r="A1041" s="61"/>
      <c r="B1041" s="61"/>
      <c r="C1041" s="61"/>
      <c r="D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  <c r="AD1041" s="61"/>
      <c r="AE1041" s="61"/>
      <c r="AF1041" s="61"/>
      <c r="AG1041" s="61"/>
      <c r="AH1041" s="61"/>
      <c r="AI1041" s="61"/>
      <c r="AJ1041" s="61"/>
      <c r="AK1041" s="61"/>
      <c r="AL1041" s="61"/>
      <c r="AM1041" s="61"/>
    </row>
    <row r="1042" spans="1:39" ht="15.75" customHeight="1" x14ac:dyDescent="0.2">
      <c r="A1042" s="61"/>
      <c r="B1042" s="61"/>
      <c r="C1042" s="61"/>
      <c r="D1042" s="61"/>
      <c r="E1042" s="61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  <c r="AD1042" s="61"/>
      <c r="AE1042" s="61"/>
      <c r="AF1042" s="61"/>
      <c r="AG1042" s="61"/>
      <c r="AH1042" s="61"/>
      <c r="AI1042" s="61"/>
      <c r="AJ1042" s="61"/>
      <c r="AK1042" s="61"/>
      <c r="AL1042" s="61"/>
      <c r="AM1042" s="61"/>
    </row>
    <row r="1043" spans="1:39" ht="15.75" customHeight="1" x14ac:dyDescent="0.2">
      <c r="A1043" s="61"/>
      <c r="B1043" s="61"/>
      <c r="C1043" s="61"/>
      <c r="D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</row>
    <row r="1044" spans="1:39" ht="15.75" customHeight="1" x14ac:dyDescent="0.2">
      <c r="A1044" s="61"/>
      <c r="B1044" s="61"/>
      <c r="C1044" s="61"/>
      <c r="D1044" s="61"/>
      <c r="E1044" s="61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  <c r="AD1044" s="61"/>
      <c r="AE1044" s="61"/>
      <c r="AF1044" s="61"/>
      <c r="AG1044" s="61"/>
      <c r="AH1044" s="61"/>
      <c r="AI1044" s="61"/>
      <c r="AJ1044" s="61"/>
      <c r="AK1044" s="61"/>
      <c r="AL1044" s="61"/>
      <c r="AM1044" s="61"/>
    </row>
    <row r="1045" spans="1:39" ht="15.75" customHeight="1" x14ac:dyDescent="0.2">
      <c r="A1045" s="61"/>
      <c r="B1045" s="61"/>
      <c r="C1045" s="61"/>
      <c r="D1045" s="61"/>
      <c r="E1045" s="61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  <c r="AD1045" s="61"/>
      <c r="AE1045" s="61"/>
      <c r="AF1045" s="61"/>
      <c r="AG1045" s="61"/>
      <c r="AH1045" s="61"/>
      <c r="AI1045" s="61"/>
      <c r="AJ1045" s="61"/>
      <c r="AK1045" s="61"/>
      <c r="AL1045" s="61"/>
      <c r="AM1045" s="61"/>
    </row>
    <row r="1046" spans="1:39" ht="15.75" customHeight="1" x14ac:dyDescent="0.2">
      <c r="A1046" s="61"/>
      <c r="B1046" s="61"/>
      <c r="C1046" s="61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  <c r="AH1046" s="61"/>
      <c r="AI1046" s="61"/>
      <c r="AJ1046" s="61"/>
      <c r="AK1046" s="61"/>
      <c r="AL1046" s="61"/>
      <c r="AM1046" s="61"/>
    </row>
    <row r="1047" spans="1:39" ht="15.75" customHeight="1" x14ac:dyDescent="0.2">
      <c r="A1047" s="61"/>
      <c r="B1047" s="61"/>
      <c r="C1047" s="61"/>
      <c r="D1047" s="61"/>
      <c r="E1047" s="61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  <c r="AD1047" s="61"/>
      <c r="AE1047" s="61"/>
      <c r="AF1047" s="61"/>
      <c r="AG1047" s="61"/>
      <c r="AH1047" s="61"/>
      <c r="AI1047" s="61"/>
      <c r="AJ1047" s="61"/>
      <c r="AK1047" s="61"/>
      <c r="AL1047" s="61"/>
      <c r="AM1047" s="61"/>
    </row>
    <row r="1048" spans="1:39" ht="15.75" customHeight="1" x14ac:dyDescent="0.2">
      <c r="A1048" s="61"/>
      <c r="B1048" s="61"/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  <c r="AD1048" s="61"/>
      <c r="AE1048" s="61"/>
      <c r="AF1048" s="61"/>
      <c r="AG1048" s="61"/>
      <c r="AH1048" s="61"/>
      <c r="AI1048" s="61"/>
      <c r="AJ1048" s="61"/>
      <c r="AK1048" s="61"/>
      <c r="AL1048" s="61"/>
      <c r="AM1048" s="61"/>
    </row>
    <row r="1049" spans="1:39" ht="15.75" customHeight="1" x14ac:dyDescent="0.2">
      <c r="A1049" s="61"/>
      <c r="B1049" s="61"/>
      <c r="C1049" s="61"/>
      <c r="D1049" s="61"/>
      <c r="E1049" s="61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/>
    </row>
    <row r="1050" spans="1:39" ht="15.75" customHeight="1" x14ac:dyDescent="0.2">
      <c r="A1050" s="61"/>
      <c r="B1050" s="61"/>
      <c r="C1050" s="61"/>
      <c r="D1050" s="61"/>
      <c r="E1050" s="61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  <c r="AD1050" s="61"/>
      <c r="AE1050" s="61"/>
      <c r="AF1050" s="61"/>
      <c r="AG1050" s="61"/>
      <c r="AH1050" s="61"/>
      <c r="AI1050" s="61"/>
      <c r="AJ1050" s="61"/>
      <c r="AK1050" s="61"/>
      <c r="AL1050" s="61"/>
      <c r="AM1050" s="61"/>
    </row>
    <row r="1051" spans="1:39" ht="15.75" customHeight="1" x14ac:dyDescent="0.2">
      <c r="A1051" s="61"/>
      <c r="B1051" s="61"/>
      <c r="C1051" s="61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  <c r="AD1051" s="61"/>
      <c r="AE1051" s="61"/>
      <c r="AF1051" s="61"/>
      <c r="AG1051" s="61"/>
      <c r="AH1051" s="61"/>
      <c r="AI1051" s="61"/>
      <c r="AJ1051" s="61"/>
      <c r="AK1051" s="61"/>
      <c r="AL1051" s="61"/>
      <c r="AM1051" s="61"/>
    </row>
    <row r="1052" spans="1:39" ht="15.75" customHeight="1" x14ac:dyDescent="0.2">
      <c r="A1052" s="61"/>
      <c r="B1052" s="61"/>
      <c r="C1052" s="61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61"/>
      <c r="AE1052" s="61"/>
      <c r="AF1052" s="61"/>
      <c r="AG1052" s="61"/>
      <c r="AH1052" s="61"/>
      <c r="AI1052" s="61"/>
      <c r="AJ1052" s="61"/>
      <c r="AK1052" s="61"/>
      <c r="AL1052" s="61"/>
      <c r="AM1052" s="61"/>
    </row>
    <row r="1053" spans="1:39" ht="15.75" customHeight="1" x14ac:dyDescent="0.2">
      <c r="A1053" s="61"/>
      <c r="B1053" s="61"/>
      <c r="C1053" s="61"/>
      <c r="D1053" s="61"/>
      <c r="E1053" s="61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61"/>
      <c r="AE1053" s="61"/>
      <c r="AF1053" s="61"/>
      <c r="AG1053" s="61"/>
      <c r="AH1053" s="61"/>
      <c r="AI1053" s="61"/>
      <c r="AJ1053" s="61"/>
      <c r="AK1053" s="61"/>
      <c r="AL1053" s="61"/>
      <c r="AM1053" s="61"/>
    </row>
    <row r="1054" spans="1:39" ht="15.75" customHeight="1" x14ac:dyDescent="0.2">
      <c r="A1054" s="61"/>
      <c r="B1054" s="61"/>
      <c r="C1054" s="61"/>
      <c r="D1054" s="61"/>
      <c r="E1054" s="61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/>
    </row>
    <row r="1055" spans="1:39" ht="15.75" customHeight="1" x14ac:dyDescent="0.2">
      <c r="A1055" s="61"/>
      <c r="B1055" s="61"/>
      <c r="C1055" s="61"/>
      <c r="D1055" s="61"/>
      <c r="E1055" s="61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/>
    </row>
    <row r="1056" spans="1:39" ht="15.75" customHeight="1" x14ac:dyDescent="0.2">
      <c r="A1056" s="61"/>
      <c r="B1056" s="61"/>
      <c r="C1056" s="61"/>
      <c r="D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/>
    </row>
    <row r="1057" spans="1:39" ht="15.75" customHeight="1" x14ac:dyDescent="0.2">
      <c r="A1057" s="61"/>
      <c r="B1057" s="61"/>
      <c r="C1057" s="61"/>
      <c r="D1057" s="61"/>
      <c r="E1057" s="61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  <c r="AD1057" s="61"/>
      <c r="AE1057" s="61"/>
      <c r="AF1057" s="61"/>
      <c r="AG1057" s="61"/>
      <c r="AH1057" s="61"/>
      <c r="AI1057" s="61"/>
      <c r="AJ1057" s="61"/>
      <c r="AK1057" s="61"/>
      <c r="AL1057" s="61"/>
      <c r="AM1057" s="61"/>
    </row>
    <row r="1058" spans="1:39" ht="15.75" customHeight="1" x14ac:dyDescent="0.2">
      <c r="A1058" s="61"/>
      <c r="B1058" s="61"/>
      <c r="C1058" s="61"/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  <c r="AD1058" s="61"/>
      <c r="AE1058" s="61"/>
      <c r="AF1058" s="61"/>
      <c r="AG1058" s="61"/>
      <c r="AH1058" s="61"/>
      <c r="AI1058" s="61"/>
      <c r="AJ1058" s="61"/>
      <c r="AK1058" s="61"/>
      <c r="AL1058" s="61"/>
      <c r="AM1058" s="61"/>
    </row>
    <row r="1059" spans="1:39" ht="15.75" customHeight="1" x14ac:dyDescent="0.2">
      <c r="A1059" s="61"/>
      <c r="B1059" s="61"/>
      <c r="C1059" s="61"/>
      <c r="D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  <c r="AD1059" s="61"/>
      <c r="AE1059" s="61"/>
      <c r="AF1059" s="61"/>
      <c r="AG1059" s="61"/>
      <c r="AH1059" s="61"/>
      <c r="AI1059" s="61"/>
      <c r="AJ1059" s="61"/>
      <c r="AK1059" s="61"/>
      <c r="AL1059" s="61"/>
      <c r="AM1059" s="61"/>
    </row>
    <row r="1060" spans="1:39" ht="15.75" customHeight="1" x14ac:dyDescent="0.2">
      <c r="A1060" s="61"/>
      <c r="B1060" s="61"/>
      <c r="C1060" s="61"/>
      <c r="D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  <c r="AD1060" s="61"/>
      <c r="AE1060" s="61"/>
      <c r="AF1060" s="61"/>
      <c r="AG1060" s="61"/>
      <c r="AH1060" s="61"/>
      <c r="AI1060" s="61"/>
      <c r="AJ1060" s="61"/>
      <c r="AK1060" s="61"/>
      <c r="AL1060" s="61"/>
      <c r="AM1060" s="61"/>
    </row>
    <row r="1061" spans="1:39" ht="15.75" customHeight="1" x14ac:dyDescent="0.2">
      <c r="A1061" s="61"/>
      <c r="B1061" s="61"/>
      <c r="C1061" s="61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</row>
    <row r="1062" spans="1:39" ht="15.75" customHeight="1" x14ac:dyDescent="0.2">
      <c r="A1062" s="61"/>
      <c r="B1062" s="61"/>
      <c r="C1062" s="61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/>
    </row>
    <row r="1063" spans="1:39" ht="15.75" customHeight="1" x14ac:dyDescent="0.2">
      <c r="A1063" s="61"/>
      <c r="B1063" s="61"/>
      <c r="C1063" s="61"/>
      <c r="D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  <c r="AD1063" s="61"/>
      <c r="AE1063" s="61"/>
      <c r="AF1063" s="61"/>
      <c r="AG1063" s="61"/>
      <c r="AH1063" s="61"/>
      <c r="AI1063" s="61"/>
      <c r="AJ1063" s="61"/>
      <c r="AK1063" s="61"/>
      <c r="AL1063" s="61"/>
      <c r="AM1063" s="61"/>
    </row>
    <row r="1064" spans="1:39" ht="15.75" customHeight="1" x14ac:dyDescent="0.2">
      <c r="A1064" s="61"/>
      <c r="B1064" s="61"/>
      <c r="C1064" s="61"/>
      <c r="D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  <c r="AD1064" s="61"/>
      <c r="AE1064" s="61"/>
      <c r="AF1064" s="61"/>
      <c r="AG1064" s="61"/>
      <c r="AH1064" s="61"/>
      <c r="AI1064" s="61"/>
      <c r="AJ1064" s="61"/>
      <c r="AK1064" s="61"/>
      <c r="AL1064" s="61"/>
      <c r="AM1064" s="61"/>
    </row>
    <row r="1065" spans="1:39" ht="15.75" customHeight="1" x14ac:dyDescent="0.2">
      <c r="A1065" s="61"/>
      <c r="B1065" s="61"/>
      <c r="C1065" s="61"/>
      <c r="D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  <c r="AD1065" s="61"/>
      <c r="AE1065" s="61"/>
      <c r="AF1065" s="61"/>
      <c r="AG1065" s="61"/>
      <c r="AH1065" s="61"/>
      <c r="AI1065" s="61"/>
      <c r="AJ1065" s="61"/>
      <c r="AK1065" s="61"/>
      <c r="AL1065" s="61"/>
      <c r="AM1065" s="61"/>
    </row>
    <row r="1066" spans="1:39" ht="15.75" customHeight="1" x14ac:dyDescent="0.2">
      <c r="A1066" s="61"/>
      <c r="B1066" s="61"/>
      <c r="C1066" s="61"/>
      <c r="D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  <c r="AD1066" s="61"/>
      <c r="AE1066" s="61"/>
      <c r="AF1066" s="61"/>
      <c r="AG1066" s="61"/>
      <c r="AH1066" s="61"/>
      <c r="AI1066" s="61"/>
      <c r="AJ1066" s="61"/>
      <c r="AK1066" s="61"/>
      <c r="AL1066" s="61"/>
      <c r="AM1066" s="61"/>
    </row>
    <row r="1067" spans="1:39" ht="15.75" customHeight="1" x14ac:dyDescent="0.2">
      <c r="A1067" s="61"/>
      <c r="B1067" s="61"/>
      <c r="C1067" s="61"/>
      <c r="D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  <c r="AH1067" s="61"/>
      <c r="AI1067" s="61"/>
      <c r="AJ1067" s="61"/>
      <c r="AK1067" s="61"/>
      <c r="AL1067" s="61"/>
      <c r="AM1067" s="61"/>
    </row>
    <row r="1068" spans="1:39" ht="15.75" customHeight="1" x14ac:dyDescent="0.2">
      <c r="A1068" s="61"/>
      <c r="B1068" s="61"/>
      <c r="C1068" s="61"/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  <c r="AD1068" s="61"/>
      <c r="AE1068" s="61"/>
      <c r="AF1068" s="61"/>
      <c r="AG1068" s="61"/>
      <c r="AH1068" s="61"/>
      <c r="AI1068" s="61"/>
      <c r="AJ1068" s="61"/>
      <c r="AK1068" s="61"/>
      <c r="AL1068" s="61"/>
      <c r="AM1068" s="61"/>
    </row>
    <row r="1069" spans="1:39" ht="15.75" customHeight="1" x14ac:dyDescent="0.2">
      <c r="A1069" s="61"/>
      <c r="B1069" s="61"/>
      <c r="C1069" s="61"/>
      <c r="D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  <c r="AD1069" s="61"/>
      <c r="AE1069" s="61"/>
      <c r="AF1069" s="61"/>
      <c r="AG1069" s="61"/>
      <c r="AH1069" s="61"/>
      <c r="AI1069" s="61"/>
      <c r="AJ1069" s="61"/>
      <c r="AK1069" s="61"/>
      <c r="AL1069" s="61"/>
      <c r="AM1069" s="61"/>
    </row>
    <row r="1070" spans="1:39" ht="15.75" customHeight="1" x14ac:dyDescent="0.2">
      <c r="A1070" s="61"/>
      <c r="B1070" s="61"/>
      <c r="C1070" s="61"/>
      <c r="D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  <c r="AD1070" s="61"/>
      <c r="AE1070" s="61"/>
      <c r="AF1070" s="61"/>
      <c r="AG1070" s="61"/>
      <c r="AH1070" s="61"/>
      <c r="AI1070" s="61"/>
      <c r="AJ1070" s="61"/>
      <c r="AK1070" s="61"/>
      <c r="AL1070" s="61"/>
      <c r="AM1070" s="61"/>
    </row>
    <row r="1071" spans="1:39" ht="15.75" customHeight="1" x14ac:dyDescent="0.2">
      <c r="A1071" s="61"/>
      <c r="B1071" s="61"/>
      <c r="C1071" s="61"/>
      <c r="D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  <c r="AD1071" s="61"/>
      <c r="AE1071" s="61"/>
      <c r="AF1071" s="61"/>
      <c r="AG1071" s="61"/>
      <c r="AH1071" s="61"/>
      <c r="AI1071" s="61"/>
      <c r="AJ1071" s="61"/>
      <c r="AK1071" s="61"/>
      <c r="AL1071" s="61"/>
      <c r="AM1071" s="61"/>
    </row>
    <row r="1072" spans="1:39" ht="15.75" customHeight="1" x14ac:dyDescent="0.2">
      <c r="A1072" s="61"/>
      <c r="B1072" s="61"/>
      <c r="C1072" s="61"/>
      <c r="D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  <c r="AD1072" s="61"/>
      <c r="AE1072" s="61"/>
      <c r="AF1072" s="61"/>
      <c r="AG1072" s="61"/>
      <c r="AH1072" s="61"/>
      <c r="AI1072" s="61"/>
      <c r="AJ1072" s="61"/>
      <c r="AK1072" s="61"/>
      <c r="AL1072" s="61"/>
      <c r="AM1072" s="61"/>
    </row>
    <row r="1073" spans="1:39" ht="15.75" customHeight="1" x14ac:dyDescent="0.2">
      <c r="A1073" s="61"/>
      <c r="B1073" s="61"/>
      <c r="C1073" s="61"/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  <c r="AD1073" s="61"/>
      <c r="AE1073" s="61"/>
      <c r="AF1073" s="61"/>
      <c r="AG1073" s="61"/>
      <c r="AH1073" s="61"/>
      <c r="AI1073" s="61"/>
      <c r="AJ1073" s="61"/>
      <c r="AK1073" s="61"/>
      <c r="AL1073" s="61"/>
      <c r="AM1073" s="61"/>
    </row>
    <row r="1074" spans="1:39" ht="15.75" customHeight="1" x14ac:dyDescent="0.2">
      <c r="A1074" s="61"/>
      <c r="B1074" s="61"/>
      <c r="C1074" s="61"/>
      <c r="D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  <c r="AD1074" s="61"/>
      <c r="AE1074" s="61"/>
      <c r="AF1074" s="61"/>
      <c r="AG1074" s="61"/>
      <c r="AH1074" s="61"/>
      <c r="AI1074" s="61"/>
      <c r="AJ1074" s="61"/>
      <c r="AK1074" s="61"/>
      <c r="AL1074" s="61"/>
      <c r="AM1074" s="61"/>
    </row>
    <row r="1075" spans="1:39" ht="15.75" customHeight="1" x14ac:dyDescent="0.2">
      <c r="A1075" s="61"/>
      <c r="B1075" s="61"/>
      <c r="C1075" s="61"/>
      <c r="D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  <c r="AD1075" s="61"/>
      <c r="AE1075" s="61"/>
      <c r="AF1075" s="61"/>
      <c r="AG1075" s="61"/>
      <c r="AH1075" s="61"/>
      <c r="AI1075" s="61"/>
      <c r="AJ1075" s="61"/>
      <c r="AK1075" s="61"/>
      <c r="AL1075" s="61"/>
      <c r="AM1075" s="61"/>
    </row>
    <row r="1076" spans="1:39" ht="15.75" customHeight="1" x14ac:dyDescent="0.2">
      <c r="A1076" s="61"/>
      <c r="B1076" s="61"/>
      <c r="C1076" s="61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  <c r="AH1076" s="61"/>
      <c r="AI1076" s="61"/>
      <c r="AJ1076" s="61"/>
      <c r="AK1076" s="61"/>
      <c r="AL1076" s="61"/>
      <c r="AM1076" s="61"/>
    </row>
    <row r="1077" spans="1:39" ht="15.75" customHeight="1" x14ac:dyDescent="0.2">
      <c r="A1077" s="61"/>
      <c r="B1077" s="61"/>
      <c r="C1077" s="61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  <c r="AH1077" s="61"/>
      <c r="AI1077" s="61"/>
      <c r="AJ1077" s="61"/>
      <c r="AK1077" s="61"/>
      <c r="AL1077" s="61"/>
      <c r="AM1077" s="61"/>
    </row>
    <row r="1078" spans="1:39" ht="15.75" customHeight="1" x14ac:dyDescent="0.2">
      <c r="A1078" s="61"/>
      <c r="B1078" s="61"/>
      <c r="C1078" s="61"/>
      <c r="D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  <c r="AD1078" s="61"/>
      <c r="AE1078" s="61"/>
      <c r="AF1078" s="61"/>
      <c r="AG1078" s="61"/>
      <c r="AH1078" s="61"/>
      <c r="AI1078" s="61"/>
      <c r="AJ1078" s="61"/>
      <c r="AK1078" s="61"/>
      <c r="AL1078" s="61"/>
      <c r="AM1078" s="61"/>
    </row>
    <row r="1079" spans="1:39" ht="15.75" customHeight="1" x14ac:dyDescent="0.2">
      <c r="A1079" s="61"/>
      <c r="B1079" s="61"/>
      <c r="C1079" s="61"/>
      <c r="D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  <c r="AH1079" s="61"/>
      <c r="AI1079" s="61"/>
      <c r="AJ1079" s="61"/>
      <c r="AK1079" s="61"/>
      <c r="AL1079" s="61"/>
      <c r="AM1079" s="61"/>
    </row>
    <row r="1080" spans="1:39" ht="15.75" customHeight="1" x14ac:dyDescent="0.2">
      <c r="A1080" s="61"/>
      <c r="B1080" s="61"/>
      <c r="C1080" s="61"/>
      <c r="D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  <c r="AH1080" s="61"/>
      <c r="AI1080" s="61"/>
      <c r="AJ1080" s="61"/>
      <c r="AK1080" s="61"/>
      <c r="AL1080" s="61"/>
      <c r="AM1080" s="61"/>
    </row>
    <row r="1081" spans="1:39" ht="15.75" customHeight="1" x14ac:dyDescent="0.2">
      <c r="A1081" s="61"/>
      <c r="B1081" s="61"/>
      <c r="C1081" s="61"/>
      <c r="D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  <c r="AH1081" s="61"/>
      <c r="AI1081" s="61"/>
      <c r="AJ1081" s="61"/>
      <c r="AK1081" s="61"/>
      <c r="AL1081" s="61"/>
      <c r="AM1081" s="61"/>
    </row>
    <row r="1082" spans="1:39" ht="15.75" customHeight="1" x14ac:dyDescent="0.2">
      <c r="A1082" s="61"/>
      <c r="B1082" s="61"/>
      <c r="C1082" s="61"/>
      <c r="D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  <c r="AH1082" s="61"/>
      <c r="AI1082" s="61"/>
      <c r="AJ1082" s="61"/>
      <c r="AK1082" s="61"/>
      <c r="AL1082" s="61"/>
      <c r="AM1082" s="61"/>
    </row>
    <row r="1083" spans="1:39" ht="15.75" customHeight="1" x14ac:dyDescent="0.2">
      <c r="A1083" s="61"/>
      <c r="B1083" s="61"/>
      <c r="C1083" s="61"/>
      <c r="D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  <c r="AD1083" s="61"/>
      <c r="AE1083" s="61"/>
      <c r="AF1083" s="61"/>
      <c r="AG1083" s="61"/>
      <c r="AH1083" s="61"/>
      <c r="AI1083" s="61"/>
      <c r="AJ1083" s="61"/>
      <c r="AK1083" s="61"/>
      <c r="AL1083" s="61"/>
      <c r="AM1083" s="61"/>
    </row>
    <row r="1084" spans="1:39" ht="15.75" customHeight="1" x14ac:dyDescent="0.2">
      <c r="A1084" s="61"/>
      <c r="B1084" s="61"/>
      <c r="C1084" s="61"/>
      <c r="D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  <c r="AD1084" s="61"/>
      <c r="AE1084" s="61"/>
      <c r="AF1084" s="61"/>
      <c r="AG1084" s="61"/>
      <c r="AH1084" s="61"/>
      <c r="AI1084" s="61"/>
      <c r="AJ1084" s="61"/>
      <c r="AK1084" s="61"/>
      <c r="AL1084" s="61"/>
      <c r="AM1084" s="61"/>
    </row>
    <row r="1085" spans="1:39" ht="15.75" customHeight="1" x14ac:dyDescent="0.2">
      <c r="A1085" s="61"/>
      <c r="B1085" s="61"/>
      <c r="C1085" s="61"/>
      <c r="D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  <c r="AH1085" s="61"/>
      <c r="AI1085" s="61"/>
      <c r="AJ1085" s="61"/>
      <c r="AK1085" s="61"/>
      <c r="AL1085" s="61"/>
      <c r="AM1085" s="61"/>
    </row>
    <row r="1086" spans="1:39" ht="15.75" customHeight="1" x14ac:dyDescent="0.2">
      <c r="A1086" s="61"/>
      <c r="B1086" s="61"/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  <c r="AH1086" s="61"/>
      <c r="AI1086" s="61"/>
      <c r="AJ1086" s="61"/>
      <c r="AK1086" s="61"/>
      <c r="AL1086" s="61"/>
      <c r="AM1086" s="61"/>
    </row>
    <row r="1087" spans="1:39" ht="15.75" customHeight="1" x14ac:dyDescent="0.2">
      <c r="A1087" s="61"/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  <c r="AH1087" s="61"/>
      <c r="AI1087" s="61"/>
      <c r="AJ1087" s="61"/>
      <c r="AK1087" s="61"/>
      <c r="AL1087" s="61"/>
      <c r="AM1087" s="61"/>
    </row>
    <row r="1088" spans="1:39" ht="15.75" customHeight="1" x14ac:dyDescent="0.2">
      <c r="A1088" s="61"/>
      <c r="B1088" s="61"/>
      <c r="C1088" s="61"/>
      <c r="D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  <c r="AD1088" s="61"/>
      <c r="AE1088" s="61"/>
      <c r="AF1088" s="61"/>
      <c r="AG1088" s="61"/>
      <c r="AH1088" s="61"/>
      <c r="AI1088" s="61"/>
      <c r="AJ1088" s="61"/>
      <c r="AK1088" s="61"/>
      <c r="AL1088" s="61"/>
      <c r="AM1088" s="61"/>
    </row>
    <row r="1089" spans="1:39" ht="15.75" customHeight="1" x14ac:dyDescent="0.2">
      <c r="A1089" s="61"/>
      <c r="B1089" s="61"/>
      <c r="C1089" s="61"/>
      <c r="D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  <c r="AD1089" s="61"/>
      <c r="AE1089" s="61"/>
      <c r="AF1089" s="61"/>
      <c r="AG1089" s="61"/>
      <c r="AH1089" s="61"/>
      <c r="AI1089" s="61"/>
      <c r="AJ1089" s="61"/>
      <c r="AK1089" s="61"/>
      <c r="AL1089" s="61"/>
      <c r="AM1089" s="61"/>
    </row>
    <row r="1090" spans="1:39" ht="15.75" customHeight="1" x14ac:dyDescent="0.2">
      <c r="A1090" s="61"/>
      <c r="B1090" s="61"/>
      <c r="C1090" s="61"/>
      <c r="D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  <c r="AD1090" s="61"/>
      <c r="AE1090" s="61"/>
      <c r="AF1090" s="61"/>
      <c r="AG1090" s="61"/>
      <c r="AH1090" s="61"/>
      <c r="AI1090" s="61"/>
      <c r="AJ1090" s="61"/>
      <c r="AK1090" s="61"/>
      <c r="AL1090" s="61"/>
      <c r="AM1090" s="61"/>
    </row>
    <row r="1091" spans="1:39" ht="15.75" customHeight="1" x14ac:dyDescent="0.2">
      <c r="A1091" s="61"/>
      <c r="B1091" s="61"/>
      <c r="C1091" s="61"/>
      <c r="D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  <c r="AD1091" s="61"/>
      <c r="AE1091" s="61"/>
      <c r="AF1091" s="61"/>
      <c r="AG1091" s="61"/>
      <c r="AH1091" s="61"/>
      <c r="AI1091" s="61"/>
      <c r="AJ1091" s="61"/>
      <c r="AK1091" s="61"/>
      <c r="AL1091" s="61"/>
      <c r="AM1091" s="61"/>
    </row>
    <row r="1092" spans="1:39" ht="15.75" customHeight="1" x14ac:dyDescent="0.2">
      <c r="A1092" s="61"/>
      <c r="B1092" s="61"/>
      <c r="C1092" s="61"/>
      <c r="D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  <c r="AD1092" s="61"/>
      <c r="AE1092" s="61"/>
      <c r="AF1092" s="61"/>
      <c r="AG1092" s="61"/>
      <c r="AH1092" s="61"/>
      <c r="AI1092" s="61"/>
      <c r="AJ1092" s="61"/>
      <c r="AK1092" s="61"/>
      <c r="AL1092" s="61"/>
      <c r="AM1092" s="61"/>
    </row>
    <row r="1093" spans="1:39" ht="15.75" customHeight="1" x14ac:dyDescent="0.2">
      <c r="A1093" s="61"/>
      <c r="B1093" s="61"/>
      <c r="C1093" s="61"/>
      <c r="D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  <c r="AD1093" s="61"/>
      <c r="AE1093" s="61"/>
      <c r="AF1093" s="61"/>
      <c r="AG1093" s="61"/>
      <c r="AH1093" s="61"/>
      <c r="AI1093" s="61"/>
      <c r="AJ1093" s="61"/>
      <c r="AK1093" s="61"/>
      <c r="AL1093" s="61"/>
      <c r="AM1093" s="61"/>
    </row>
    <row r="1094" spans="1:39" ht="15.75" customHeight="1" x14ac:dyDescent="0.2">
      <c r="A1094" s="61"/>
      <c r="B1094" s="61"/>
      <c r="C1094" s="61"/>
      <c r="D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</row>
    <row r="1095" spans="1:39" ht="15.75" customHeight="1" x14ac:dyDescent="0.2">
      <c r="A1095" s="61"/>
      <c r="B1095" s="61"/>
      <c r="C1095" s="61"/>
      <c r="D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</row>
  </sheetData>
  <mergeCells count="1131">
    <mergeCell ref="A378:B378"/>
    <mergeCell ref="A379:B379"/>
    <mergeCell ref="A380:B380"/>
    <mergeCell ref="A381:B381"/>
    <mergeCell ref="D366:K366"/>
    <mergeCell ref="L94:Y94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E268:K268"/>
    <mergeCell ref="L268:Y275"/>
    <mergeCell ref="E269:K269"/>
    <mergeCell ref="E270:K270"/>
    <mergeCell ref="E274:K274"/>
    <mergeCell ref="E327:K327"/>
    <mergeCell ref="E275:K275"/>
    <mergeCell ref="L366:Q366"/>
    <mergeCell ref="S216:Y216"/>
    <mergeCell ref="S222:Y222"/>
    <mergeCell ref="A246:A247"/>
    <mergeCell ref="B246:C247"/>
    <mergeCell ref="A245:Y245"/>
    <mergeCell ref="E235:K235"/>
    <mergeCell ref="E236:K236"/>
    <mergeCell ref="E237:K237"/>
    <mergeCell ref="E238:K238"/>
    <mergeCell ref="E239:K239"/>
    <mergeCell ref="U235:Y235"/>
    <mergeCell ref="U236:Y236"/>
    <mergeCell ref="L243:S243"/>
    <mergeCell ref="L244:S244"/>
    <mergeCell ref="B250:C250"/>
    <mergeCell ref="L248:Y248"/>
    <mergeCell ref="A231:C231"/>
    <mergeCell ref="A232:C232"/>
    <mergeCell ref="A233:C233"/>
    <mergeCell ref="E272:K272"/>
    <mergeCell ref="T267:Y267"/>
    <mergeCell ref="T279:Y279"/>
    <mergeCell ref="E259:K259"/>
    <mergeCell ref="L367:Q367"/>
    <mergeCell ref="L368:Q368"/>
    <mergeCell ref="L369:Q369"/>
    <mergeCell ref="L370:Q370"/>
    <mergeCell ref="L371:Q371"/>
    <mergeCell ref="L372:Q372"/>
    <mergeCell ref="L373:Q373"/>
    <mergeCell ref="L374:Q374"/>
    <mergeCell ref="L375:Q375"/>
    <mergeCell ref="L376:Q376"/>
    <mergeCell ref="L377:Q377"/>
    <mergeCell ref="U233:Y233"/>
    <mergeCell ref="U234:Y234"/>
    <mergeCell ref="S372:Y372"/>
    <mergeCell ref="S373:Y373"/>
    <mergeCell ref="S374:Y374"/>
    <mergeCell ref="S375:Y375"/>
    <mergeCell ref="S376:Y376"/>
    <mergeCell ref="S377:Y377"/>
    <mergeCell ref="A236:C236"/>
    <mergeCell ref="A237:C237"/>
    <mergeCell ref="A238:C238"/>
    <mergeCell ref="A239:C239"/>
    <mergeCell ref="A287:Y287"/>
    <mergeCell ref="L284:P284"/>
    <mergeCell ref="T284:Y284"/>
    <mergeCell ref="L285:P285"/>
    <mergeCell ref="T285:Y285"/>
    <mergeCell ref="L286:Y286"/>
    <mergeCell ref="E232:K232"/>
    <mergeCell ref="U232:Y232"/>
    <mergeCell ref="L222:O222"/>
    <mergeCell ref="T363:Y363"/>
    <mergeCell ref="T364:Y364"/>
    <mergeCell ref="E261:K261"/>
    <mergeCell ref="T261:Y261"/>
    <mergeCell ref="T262:Y262"/>
    <mergeCell ref="T265:Y265"/>
    <mergeCell ref="T266:Y266"/>
    <mergeCell ref="E267:K267"/>
    <mergeCell ref="L267:P267"/>
    <mergeCell ref="T263:Y263"/>
    <mergeCell ref="E264:K264"/>
    <mergeCell ref="L264:P264"/>
    <mergeCell ref="E279:K279"/>
    <mergeCell ref="L293:P293"/>
    <mergeCell ref="L261:P261"/>
    <mergeCell ref="A224:C225"/>
    <mergeCell ref="D224:D225"/>
    <mergeCell ref="E224:K225"/>
    <mergeCell ref="E273:K273"/>
    <mergeCell ref="D396:E396"/>
    <mergeCell ref="F396:K396"/>
    <mergeCell ref="E349:K349"/>
    <mergeCell ref="L349:P349"/>
    <mergeCell ref="T351:Y351"/>
    <mergeCell ref="L239:S239"/>
    <mergeCell ref="L240:S240"/>
    <mergeCell ref="L241:S241"/>
    <mergeCell ref="L242:S242"/>
    <mergeCell ref="D246:K247"/>
    <mergeCell ref="A142:A143"/>
    <mergeCell ref="B142:C142"/>
    <mergeCell ref="D142:D143"/>
    <mergeCell ref="E142:K143"/>
    <mergeCell ref="L142:O143"/>
    <mergeCell ref="P142:Q142"/>
    <mergeCell ref="R142:R143"/>
    <mergeCell ref="S142:Y143"/>
    <mergeCell ref="A175:A176"/>
    <mergeCell ref="B175:C175"/>
    <mergeCell ref="D175:D176"/>
    <mergeCell ref="E175:K176"/>
    <mergeCell ref="L175:O176"/>
    <mergeCell ref="P175:Q175"/>
    <mergeCell ref="R175:R176"/>
    <mergeCell ref="S175:Y176"/>
    <mergeCell ref="S168:Y168"/>
    <mergeCell ref="S169:Y169"/>
    <mergeCell ref="L217:O217"/>
    <mergeCell ref="L218:O218"/>
    <mergeCell ref="L221:O221"/>
    <mergeCell ref="S215:Y215"/>
    <mergeCell ref="E188:K188"/>
    <mergeCell ref="E189:K189"/>
    <mergeCell ref="L189:O189"/>
    <mergeCell ref="A158:Y158"/>
    <mergeCell ref="A159:A160"/>
    <mergeCell ref="S151:Y151"/>
    <mergeCell ref="L152:Y152"/>
    <mergeCell ref="S159:Y160"/>
    <mergeCell ref="F401:K401"/>
    <mergeCell ref="F402:K402"/>
    <mergeCell ref="D397:E397"/>
    <mergeCell ref="D400:E400"/>
    <mergeCell ref="D401:E401"/>
    <mergeCell ref="D402:E402"/>
    <mergeCell ref="D398:E398"/>
    <mergeCell ref="F398:K398"/>
    <mergeCell ref="T332:Y332"/>
    <mergeCell ref="T333:Y333"/>
    <mergeCell ref="E331:K331"/>
    <mergeCell ref="L331:P331"/>
    <mergeCell ref="T331:Y331"/>
    <mergeCell ref="E332:K332"/>
    <mergeCell ref="L332:P332"/>
    <mergeCell ref="E333:K333"/>
    <mergeCell ref="L333:P333"/>
    <mergeCell ref="F400:K400"/>
    <mergeCell ref="L201:Y201"/>
    <mergeCell ref="L203:O203"/>
    <mergeCell ref="D399:E399"/>
    <mergeCell ref="F399:K399"/>
    <mergeCell ref="F397:K397"/>
    <mergeCell ref="F395:K395"/>
    <mergeCell ref="A55:A56"/>
    <mergeCell ref="B55:B56"/>
    <mergeCell ref="C55:C56"/>
    <mergeCell ref="D55:D56"/>
    <mergeCell ref="E55:F56"/>
    <mergeCell ref="G55:K56"/>
    <mergeCell ref="L56:P56"/>
    <mergeCell ref="T56:U56"/>
    <mergeCell ref="V56:Y56"/>
    <mergeCell ref="E262:K262"/>
    <mergeCell ref="L262:P262"/>
    <mergeCell ref="E263:K263"/>
    <mergeCell ref="L263:P263"/>
    <mergeCell ref="L197:O197"/>
    <mergeCell ref="E198:K198"/>
    <mergeCell ref="L266:P266"/>
    <mergeCell ref="E271:K271"/>
    <mergeCell ref="S170:Y170"/>
    <mergeCell ref="L174:O174"/>
    <mergeCell ref="B159:C159"/>
    <mergeCell ref="D159:D160"/>
    <mergeCell ref="P159:Q159"/>
    <mergeCell ref="R159:R160"/>
    <mergeCell ref="L155:O155"/>
    <mergeCell ref="L156:O156"/>
    <mergeCell ref="L157:O157"/>
    <mergeCell ref="A226:K226"/>
    <mergeCell ref="A227:C227"/>
    <mergeCell ref="A228:C228"/>
    <mergeCell ref="A229:C229"/>
    <mergeCell ref="A230:C230"/>
    <mergeCell ref="L198:O198"/>
    <mergeCell ref="S203:Y203"/>
    <mergeCell ref="P212:Q212"/>
    <mergeCell ref="L212:O214"/>
    <mergeCell ref="P213:P214"/>
    <mergeCell ref="Q213:Q214"/>
    <mergeCell ref="R212:R214"/>
    <mergeCell ref="S212:Y214"/>
    <mergeCell ref="D251:K252"/>
    <mergeCell ref="D249:K250"/>
    <mergeCell ref="R249:Y250"/>
    <mergeCell ref="R251:Y252"/>
    <mergeCell ref="E233:K233"/>
    <mergeCell ref="E234:K234"/>
    <mergeCell ref="A212:A214"/>
    <mergeCell ref="A276:Y276"/>
    <mergeCell ref="T277:Y277"/>
    <mergeCell ref="T278:Y278"/>
    <mergeCell ref="L277:P277"/>
    <mergeCell ref="L258:P258"/>
    <mergeCell ref="L259:P259"/>
    <mergeCell ref="L260:P260"/>
    <mergeCell ref="T258:Y258"/>
    <mergeCell ref="T259:Y259"/>
    <mergeCell ref="T260:Y260"/>
    <mergeCell ref="T264:Y264"/>
    <mergeCell ref="E265:K265"/>
    <mergeCell ref="L265:P265"/>
    <mergeCell ref="E266:K266"/>
    <mergeCell ref="E203:K203"/>
    <mergeCell ref="E204:K204"/>
    <mergeCell ref="L204:O204"/>
    <mergeCell ref="E207:K207"/>
    <mergeCell ref="T1:Y7"/>
    <mergeCell ref="A51:A52"/>
    <mergeCell ref="B51:D51"/>
    <mergeCell ref="E51:F52"/>
    <mergeCell ref="G51:K52"/>
    <mergeCell ref="L51:P52"/>
    <mergeCell ref="Q51:S51"/>
    <mergeCell ref="T51:U52"/>
    <mergeCell ref="V51:Y52"/>
    <mergeCell ref="L226:Y226"/>
    <mergeCell ref="L227:S227"/>
    <mergeCell ref="L228:S228"/>
    <mergeCell ref="L229:S229"/>
    <mergeCell ref="L230:S230"/>
    <mergeCell ref="L231:S231"/>
    <mergeCell ref="L232:S232"/>
    <mergeCell ref="T224:T225"/>
    <mergeCell ref="L224:S225"/>
    <mergeCell ref="U224:Y225"/>
    <mergeCell ref="U227:Y227"/>
    <mergeCell ref="U228:Y228"/>
    <mergeCell ref="S171:Y171"/>
    <mergeCell ref="S172:Y172"/>
    <mergeCell ref="S174:Y174"/>
    <mergeCell ref="E165:K165"/>
    <mergeCell ref="L165:O165"/>
    <mergeCell ref="S165:Y165"/>
    <mergeCell ref="E166:K166"/>
    <mergeCell ref="L166:O166"/>
    <mergeCell ref="S166:Y166"/>
    <mergeCell ref="E152:K152"/>
    <mergeCell ref="E197:K197"/>
    <mergeCell ref="S200:Y200"/>
    <mergeCell ref="S189:Y189"/>
    <mergeCell ref="E191:K191"/>
    <mergeCell ref="L191:O191"/>
    <mergeCell ref="E192:K192"/>
    <mergeCell ref="L192:O192"/>
    <mergeCell ref="L193:O193"/>
    <mergeCell ref="E193:K193"/>
    <mergeCell ref="L195:O195"/>
    <mergeCell ref="S195:Y195"/>
    <mergeCell ref="E196:K196"/>
    <mergeCell ref="L196:O196"/>
    <mergeCell ref="S196:Y196"/>
    <mergeCell ref="E194:K194"/>
    <mergeCell ref="L194:O194"/>
    <mergeCell ref="S194:Y194"/>
    <mergeCell ref="E195:K195"/>
    <mergeCell ref="E199:K199"/>
    <mergeCell ref="L199:O199"/>
    <mergeCell ref="S197:Y197"/>
    <mergeCell ref="S198:Y198"/>
    <mergeCell ref="S199:Y199"/>
    <mergeCell ref="A190:Y190"/>
    <mergeCell ref="S191:Y191"/>
    <mergeCell ref="S192:Y192"/>
    <mergeCell ref="S193:Y193"/>
    <mergeCell ref="E258:K258"/>
    <mergeCell ref="E208:K208"/>
    <mergeCell ref="E209:K209"/>
    <mergeCell ref="L219:O219"/>
    <mergeCell ref="S219:Y219"/>
    <mergeCell ref="L220:O220"/>
    <mergeCell ref="S220:Y220"/>
    <mergeCell ref="J216:K216"/>
    <mergeCell ref="L216:O216"/>
    <mergeCell ref="L209:O209"/>
    <mergeCell ref="L206:Y206"/>
    <mergeCell ref="L207:O207"/>
    <mergeCell ref="S207:Y207"/>
    <mergeCell ref="L208:O208"/>
    <mergeCell ref="E211:K211"/>
    <mergeCell ref="F213:G213"/>
    <mergeCell ref="H213:I213"/>
    <mergeCell ref="B212:I212"/>
    <mergeCell ref="J212:K214"/>
    <mergeCell ref="S217:Y217"/>
    <mergeCell ref="S218:Y218"/>
    <mergeCell ref="S221:Y221"/>
    <mergeCell ref="A217:K223"/>
    <mergeCell ref="E227:K227"/>
    <mergeCell ref="E228:K228"/>
    <mergeCell ref="E229:K229"/>
    <mergeCell ref="E230:K230"/>
    <mergeCell ref="E231:K231"/>
    <mergeCell ref="L237:S237"/>
    <mergeCell ref="L238:S238"/>
    <mergeCell ref="A234:C234"/>
    <mergeCell ref="A248:K248"/>
    <mergeCell ref="E285:K285"/>
    <mergeCell ref="E286:K286"/>
    <mergeCell ref="E280:K280"/>
    <mergeCell ref="E281:K281"/>
    <mergeCell ref="T282:Y282"/>
    <mergeCell ref="T283:Y283"/>
    <mergeCell ref="L280:P280"/>
    <mergeCell ref="T280:Y280"/>
    <mergeCell ref="L281:P281"/>
    <mergeCell ref="T281:Y281"/>
    <mergeCell ref="L282:P282"/>
    <mergeCell ref="L283:P283"/>
    <mergeCell ref="E282:K282"/>
    <mergeCell ref="E283:K283"/>
    <mergeCell ref="E284:K284"/>
    <mergeCell ref="E277:K277"/>
    <mergeCell ref="E278:K278"/>
    <mergeCell ref="L278:P278"/>
    <mergeCell ref="L279:P279"/>
    <mergeCell ref="A255:A256"/>
    <mergeCell ref="B255:D255"/>
    <mergeCell ref="L246:O247"/>
    <mergeCell ref="P251:Q251"/>
    <mergeCell ref="L252:O252"/>
    <mergeCell ref="P252:Q252"/>
    <mergeCell ref="L253:O253"/>
    <mergeCell ref="P253:Q253"/>
    <mergeCell ref="B249:C249"/>
    <mergeCell ref="S205:Y205"/>
    <mergeCell ref="E205:K205"/>
    <mergeCell ref="L205:O205"/>
    <mergeCell ref="E206:K206"/>
    <mergeCell ref="B213:C213"/>
    <mergeCell ref="D213:E213"/>
    <mergeCell ref="S208:Y208"/>
    <mergeCell ref="S209:Y209"/>
    <mergeCell ref="A215:K215"/>
    <mergeCell ref="L215:O215"/>
    <mergeCell ref="D253:K253"/>
    <mergeCell ref="E255:K256"/>
    <mergeCell ref="L233:S233"/>
    <mergeCell ref="L234:S234"/>
    <mergeCell ref="U237:Y237"/>
    <mergeCell ref="U238:Y238"/>
    <mergeCell ref="U239:Y239"/>
    <mergeCell ref="U240:Y240"/>
    <mergeCell ref="U241:Y241"/>
    <mergeCell ref="U242:Y242"/>
    <mergeCell ref="U243:Y243"/>
    <mergeCell ref="U244:Y244"/>
    <mergeCell ref="A235:C235"/>
    <mergeCell ref="L188:O188"/>
    <mergeCell ref="S188:Y188"/>
    <mergeCell ref="E200:K200"/>
    <mergeCell ref="S202:Y202"/>
    <mergeCell ref="S204:Y204"/>
    <mergeCell ref="E210:K210"/>
    <mergeCell ref="L223:O223"/>
    <mergeCell ref="S223:Y223"/>
    <mergeCell ref="U229:Y229"/>
    <mergeCell ref="U230:Y230"/>
    <mergeCell ref="U231:Y231"/>
    <mergeCell ref="L200:O200"/>
    <mergeCell ref="E201:K201"/>
    <mergeCell ref="L202:O202"/>
    <mergeCell ref="E202:K202"/>
    <mergeCell ref="E260:K260"/>
    <mergeCell ref="A254:Y254"/>
    <mergeCell ref="A257:Y257"/>
    <mergeCell ref="P246:Q247"/>
    <mergeCell ref="R246:Y247"/>
    <mergeCell ref="L249:O249"/>
    <mergeCell ref="P249:Q249"/>
    <mergeCell ref="P250:Q250"/>
    <mergeCell ref="L250:O250"/>
    <mergeCell ref="L251:O251"/>
    <mergeCell ref="L255:P256"/>
    <mergeCell ref="Q255:S255"/>
    <mergeCell ref="R253:Y253"/>
    <mergeCell ref="T255:Y256"/>
    <mergeCell ref="B251:C251"/>
    <mergeCell ref="B252:C252"/>
    <mergeCell ref="B253:C253"/>
    <mergeCell ref="S177:Y177"/>
    <mergeCell ref="E179:K179"/>
    <mergeCell ref="L179:O179"/>
    <mergeCell ref="E180:K180"/>
    <mergeCell ref="L180:O180"/>
    <mergeCell ref="E181:K181"/>
    <mergeCell ref="L181:O181"/>
    <mergeCell ref="S185:Y185"/>
    <mergeCell ref="S186:Y186"/>
    <mergeCell ref="S178:Y178"/>
    <mergeCell ref="S179:Y179"/>
    <mergeCell ref="S181:Y181"/>
    <mergeCell ref="S182:Y182"/>
    <mergeCell ref="S183:Y183"/>
    <mergeCell ref="S184:Y184"/>
    <mergeCell ref="S180:Y180"/>
    <mergeCell ref="A240:K244"/>
    <mergeCell ref="L235:S235"/>
    <mergeCell ref="L236:S236"/>
    <mergeCell ref="L182:O182"/>
    <mergeCell ref="E182:K182"/>
    <mergeCell ref="E183:K183"/>
    <mergeCell ref="L183:O183"/>
    <mergeCell ref="E184:K184"/>
    <mergeCell ref="L184:O184"/>
    <mergeCell ref="E185:K185"/>
    <mergeCell ref="L185:O185"/>
    <mergeCell ref="E186:K186"/>
    <mergeCell ref="L186:O186"/>
    <mergeCell ref="E187:K187"/>
    <mergeCell ref="L187:O187"/>
    <mergeCell ref="S187:Y187"/>
    <mergeCell ref="A153:A154"/>
    <mergeCell ref="B153:D153"/>
    <mergeCell ref="L153:O154"/>
    <mergeCell ref="E149:K149"/>
    <mergeCell ref="E150:K150"/>
    <mergeCell ref="E168:K168"/>
    <mergeCell ref="L168:O168"/>
    <mergeCell ref="E169:K169"/>
    <mergeCell ref="L169:O169"/>
    <mergeCell ref="E170:K170"/>
    <mergeCell ref="L170:O170"/>
    <mergeCell ref="E171:K171"/>
    <mergeCell ref="L171:O171"/>
    <mergeCell ref="E177:K177"/>
    <mergeCell ref="L177:O177"/>
    <mergeCell ref="E178:K178"/>
    <mergeCell ref="L178:O178"/>
    <mergeCell ref="F157:K157"/>
    <mergeCell ref="E151:K151"/>
    <mergeCell ref="L151:O151"/>
    <mergeCell ref="E140:K140"/>
    <mergeCell ref="E141:K141"/>
    <mergeCell ref="E144:K144"/>
    <mergeCell ref="E145:K145"/>
    <mergeCell ref="S140:Y140"/>
    <mergeCell ref="S141:Y141"/>
    <mergeCell ref="E146:K146"/>
    <mergeCell ref="E147:K147"/>
    <mergeCell ref="E148:K148"/>
    <mergeCell ref="E167:K167"/>
    <mergeCell ref="L167:O167"/>
    <mergeCell ref="S167:Y167"/>
    <mergeCell ref="E174:K174"/>
    <mergeCell ref="L149:O149"/>
    <mergeCell ref="L150:O150"/>
    <mergeCell ref="S149:Y149"/>
    <mergeCell ref="S150:Y150"/>
    <mergeCell ref="F155:K155"/>
    <mergeCell ref="F156:K156"/>
    <mergeCell ref="A161:Y161"/>
    <mergeCell ref="S162:Y162"/>
    <mergeCell ref="S163:Y163"/>
    <mergeCell ref="S164:Y164"/>
    <mergeCell ref="E159:K160"/>
    <mergeCell ref="L159:O160"/>
    <mergeCell ref="E162:K162"/>
    <mergeCell ref="L162:O162"/>
    <mergeCell ref="E163:K163"/>
    <mergeCell ref="L163:O163"/>
    <mergeCell ref="A123:Y123"/>
    <mergeCell ref="L132:O133"/>
    <mergeCell ref="P132:Q132"/>
    <mergeCell ref="L135:O135"/>
    <mergeCell ref="L136:O136"/>
    <mergeCell ref="L137:O137"/>
    <mergeCell ref="A131:Y131"/>
    <mergeCell ref="A132:A133"/>
    <mergeCell ref="B132:C132"/>
    <mergeCell ref="A134:Y134"/>
    <mergeCell ref="D132:D133"/>
    <mergeCell ref="E132:K133"/>
    <mergeCell ref="E135:K135"/>
    <mergeCell ref="E136:K136"/>
    <mergeCell ref="E137:K137"/>
    <mergeCell ref="E138:K138"/>
    <mergeCell ref="E139:K139"/>
    <mergeCell ref="L138:O138"/>
    <mergeCell ref="L139:O139"/>
    <mergeCell ref="R132:R133"/>
    <mergeCell ref="S132:Y133"/>
    <mergeCell ref="S135:Y135"/>
    <mergeCell ref="S136:Y136"/>
    <mergeCell ref="S137:Y137"/>
    <mergeCell ref="S138:Y138"/>
    <mergeCell ref="S139:Y139"/>
    <mergeCell ref="E128:K128"/>
    <mergeCell ref="T128:Y128"/>
    <mergeCell ref="E129:K129"/>
    <mergeCell ref="T129:Y129"/>
    <mergeCell ref="E130:K130"/>
    <mergeCell ref="L130:Y130"/>
    <mergeCell ref="E113:K113"/>
    <mergeCell ref="L113:P113"/>
    <mergeCell ref="E114:K114"/>
    <mergeCell ref="L114:P114"/>
    <mergeCell ref="T115:Y115"/>
    <mergeCell ref="T116:Y116"/>
    <mergeCell ref="T117:Y117"/>
    <mergeCell ref="T118:Y118"/>
    <mergeCell ref="T119:Y119"/>
    <mergeCell ref="T120:Y120"/>
    <mergeCell ref="T121:Y121"/>
    <mergeCell ref="E120:K120"/>
    <mergeCell ref="L120:P120"/>
    <mergeCell ref="E121:K121"/>
    <mergeCell ref="L121:P121"/>
    <mergeCell ref="E122:K122"/>
    <mergeCell ref="L122:Y122"/>
    <mergeCell ref="E116:K116"/>
    <mergeCell ref="L116:P116"/>
    <mergeCell ref="E117:K117"/>
    <mergeCell ref="L117:P117"/>
    <mergeCell ref="E118:K118"/>
    <mergeCell ref="L118:P118"/>
    <mergeCell ref="L119:P119"/>
    <mergeCell ref="E119:K119"/>
    <mergeCell ref="E107:K107"/>
    <mergeCell ref="L107:P107"/>
    <mergeCell ref="T107:Y107"/>
    <mergeCell ref="E108:K108"/>
    <mergeCell ref="L108:P108"/>
    <mergeCell ref="E109:K109"/>
    <mergeCell ref="L109:P109"/>
    <mergeCell ref="E110:K110"/>
    <mergeCell ref="L110:P110"/>
    <mergeCell ref="A111:Y111"/>
    <mergeCell ref="E97:K97"/>
    <mergeCell ref="L97:P97"/>
    <mergeCell ref="E101:K101"/>
    <mergeCell ref="E102:K102"/>
    <mergeCell ref="L102:P102"/>
    <mergeCell ref="E103:K103"/>
    <mergeCell ref="T108:Y108"/>
    <mergeCell ref="T109:Y109"/>
    <mergeCell ref="T110:Y110"/>
    <mergeCell ref="Q104:S104"/>
    <mergeCell ref="T104:Y105"/>
    <mergeCell ref="E98:K98"/>
    <mergeCell ref="L98:P98"/>
    <mergeCell ref="E99:K99"/>
    <mergeCell ref="L99:P99"/>
    <mergeCell ref="E100:K100"/>
    <mergeCell ref="L100:P100"/>
    <mergeCell ref="L101:P101"/>
    <mergeCell ref="T98:Y98"/>
    <mergeCell ref="T112:Y112"/>
    <mergeCell ref="T113:Y113"/>
    <mergeCell ref="T114:Y114"/>
    <mergeCell ref="E115:K115"/>
    <mergeCell ref="L115:P115"/>
    <mergeCell ref="A106:Y106"/>
    <mergeCell ref="V75:Y75"/>
    <mergeCell ref="G76:K76"/>
    <mergeCell ref="L76:Y76"/>
    <mergeCell ref="E82:K83"/>
    <mergeCell ref="L82:P83"/>
    <mergeCell ref="Q82:S82"/>
    <mergeCell ref="T82:Y83"/>
    <mergeCell ref="E74:F74"/>
    <mergeCell ref="E75:F75"/>
    <mergeCell ref="E112:K112"/>
    <mergeCell ref="L112:P112"/>
    <mergeCell ref="T99:Y99"/>
    <mergeCell ref="T100:Y100"/>
    <mergeCell ref="T101:Y101"/>
    <mergeCell ref="T102:Y102"/>
    <mergeCell ref="T88:Y88"/>
    <mergeCell ref="T89:Y89"/>
    <mergeCell ref="T90:Y90"/>
    <mergeCell ref="T91:Y91"/>
    <mergeCell ref="T92:Y92"/>
    <mergeCell ref="T93:Y93"/>
    <mergeCell ref="A95:Y95"/>
    <mergeCell ref="A104:A105"/>
    <mergeCell ref="B104:D104"/>
    <mergeCell ref="E104:K105"/>
    <mergeCell ref="L104:P105"/>
    <mergeCell ref="T96:Y96"/>
    <mergeCell ref="T97:Y97"/>
    <mergeCell ref="E78:F78"/>
    <mergeCell ref="T77:U77"/>
    <mergeCell ref="T78:U78"/>
    <mergeCell ref="E90:K90"/>
    <mergeCell ref="L90:P90"/>
    <mergeCell ref="E91:K91"/>
    <mergeCell ref="E92:K92"/>
    <mergeCell ref="L92:P92"/>
    <mergeCell ref="L93:P93"/>
    <mergeCell ref="E93:K93"/>
    <mergeCell ref="E94:K94"/>
    <mergeCell ref="E96:K96"/>
    <mergeCell ref="L96:P96"/>
    <mergeCell ref="T86:Y86"/>
    <mergeCell ref="L91:P91"/>
    <mergeCell ref="G78:K78"/>
    <mergeCell ref="L78:P78"/>
    <mergeCell ref="V78:Y78"/>
    <mergeCell ref="A81:Y81"/>
    <mergeCell ref="E77:F77"/>
    <mergeCell ref="E79:F79"/>
    <mergeCell ref="G79:K79"/>
    <mergeCell ref="E80:F80"/>
    <mergeCell ref="G80:K80"/>
    <mergeCell ref="A82:A83"/>
    <mergeCell ref="B82:D82"/>
    <mergeCell ref="E88:K88"/>
    <mergeCell ref="L88:P88"/>
    <mergeCell ref="E89:K89"/>
    <mergeCell ref="L89:P89"/>
    <mergeCell ref="L65:P65"/>
    <mergeCell ref="S66:U66"/>
    <mergeCell ref="S67:U67"/>
    <mergeCell ref="T75:U75"/>
    <mergeCell ref="A72:Y72"/>
    <mergeCell ref="A73:K73"/>
    <mergeCell ref="L73:Y73"/>
    <mergeCell ref="V77:Y77"/>
    <mergeCell ref="E76:F76"/>
    <mergeCell ref="G77:K77"/>
    <mergeCell ref="L77:P77"/>
    <mergeCell ref="L86:P86"/>
    <mergeCell ref="A84:Y84"/>
    <mergeCell ref="A85:Y85"/>
    <mergeCell ref="E86:K86"/>
    <mergeCell ref="E87:K87"/>
    <mergeCell ref="L87:P87"/>
    <mergeCell ref="T87:Y87"/>
    <mergeCell ref="L68:Y69"/>
    <mergeCell ref="E67:F67"/>
    <mergeCell ref="E68:F68"/>
    <mergeCell ref="G68:K68"/>
    <mergeCell ref="G69:K69"/>
    <mergeCell ref="E66:F66"/>
    <mergeCell ref="E69:F69"/>
    <mergeCell ref="L74:P74"/>
    <mergeCell ref="T74:U74"/>
    <mergeCell ref="V74:Y74"/>
    <mergeCell ref="L79:Y80"/>
    <mergeCell ref="G66:K66"/>
    <mergeCell ref="L66:P66"/>
    <mergeCell ref="V66:Y66"/>
    <mergeCell ref="L63:P63"/>
    <mergeCell ref="V63:Y63"/>
    <mergeCell ref="E63:F63"/>
    <mergeCell ref="A57:Y57"/>
    <mergeCell ref="G58:K58"/>
    <mergeCell ref="L58:P58"/>
    <mergeCell ref="T58:U58"/>
    <mergeCell ref="V58:Y58"/>
    <mergeCell ref="T60:U60"/>
    <mergeCell ref="V60:Y60"/>
    <mergeCell ref="E58:F58"/>
    <mergeCell ref="E59:F59"/>
    <mergeCell ref="G59:K59"/>
    <mergeCell ref="L59:P59"/>
    <mergeCell ref="T59:U59"/>
    <mergeCell ref="V59:Y59"/>
    <mergeCell ref="E60:F60"/>
    <mergeCell ref="G60:K60"/>
    <mergeCell ref="L60:P60"/>
    <mergeCell ref="E61:F61"/>
    <mergeCell ref="G61:K61"/>
    <mergeCell ref="L61:P61"/>
    <mergeCell ref="T61:U61"/>
    <mergeCell ref="V61:Y61"/>
    <mergeCell ref="G67:K67"/>
    <mergeCell ref="L67:P67"/>
    <mergeCell ref="V67:Y67"/>
    <mergeCell ref="G64:K64"/>
    <mergeCell ref="L64:P64"/>
    <mergeCell ref="E65:F65"/>
    <mergeCell ref="G65:K65"/>
    <mergeCell ref="E64:F64"/>
    <mergeCell ref="G75:K75"/>
    <mergeCell ref="L75:P75"/>
    <mergeCell ref="A53:K53"/>
    <mergeCell ref="L53:Y53"/>
    <mergeCell ref="G54:K54"/>
    <mergeCell ref="L54:P54"/>
    <mergeCell ref="T54:U54"/>
    <mergeCell ref="V54:Y54"/>
    <mergeCell ref="T55:U55"/>
    <mergeCell ref="E54:F54"/>
    <mergeCell ref="L55:P55"/>
    <mergeCell ref="V55:Y55"/>
    <mergeCell ref="G74:K74"/>
    <mergeCell ref="T62:U62"/>
    <mergeCell ref="S63:U63"/>
    <mergeCell ref="S64:U64"/>
    <mergeCell ref="V64:Y64"/>
    <mergeCell ref="S65:U65"/>
    <mergeCell ref="V65:Y65"/>
    <mergeCell ref="E62:F62"/>
    <mergeCell ref="G62:K62"/>
    <mergeCell ref="L62:P62"/>
    <mergeCell ref="V62:Y62"/>
    <mergeCell ref="G63:K63"/>
    <mergeCell ref="E46:F46"/>
    <mergeCell ref="G48:K48"/>
    <mergeCell ref="L48:P48"/>
    <mergeCell ref="G46:K46"/>
    <mergeCell ref="L46:Y46"/>
    <mergeCell ref="A47:K47"/>
    <mergeCell ref="L47:P47"/>
    <mergeCell ref="T47:U47"/>
    <mergeCell ref="V47:Y47"/>
    <mergeCell ref="E48:F48"/>
    <mergeCell ref="T48:U48"/>
    <mergeCell ref="T50:U50"/>
    <mergeCell ref="V48:Y48"/>
    <mergeCell ref="E49:F49"/>
    <mergeCell ref="G49:K49"/>
    <mergeCell ref="L49:Y49"/>
    <mergeCell ref="E50:F50"/>
    <mergeCell ref="L50:P50"/>
    <mergeCell ref="V50:Y50"/>
    <mergeCell ref="G50:K50"/>
    <mergeCell ref="E43:F43"/>
    <mergeCell ref="G43:K43"/>
    <mergeCell ref="L43:Y43"/>
    <mergeCell ref="G44:K44"/>
    <mergeCell ref="V44:Y44"/>
    <mergeCell ref="E44:F44"/>
    <mergeCell ref="E40:F40"/>
    <mergeCell ref="E41:F41"/>
    <mergeCell ref="G41:K41"/>
    <mergeCell ref="L41:P41"/>
    <mergeCell ref="T41:U41"/>
    <mergeCell ref="V41:Y41"/>
    <mergeCell ref="E42:F42"/>
    <mergeCell ref="L44:P44"/>
    <mergeCell ref="T44:U44"/>
    <mergeCell ref="E45:F45"/>
    <mergeCell ref="G45:K45"/>
    <mergeCell ref="L45:P45"/>
    <mergeCell ref="T45:U45"/>
    <mergeCell ref="V45:Y45"/>
    <mergeCell ref="G40:K40"/>
    <mergeCell ref="L40:P40"/>
    <mergeCell ref="T40:U40"/>
    <mergeCell ref="V40:Y40"/>
    <mergeCell ref="T42:U42"/>
    <mergeCell ref="V42:Y42"/>
    <mergeCell ref="V14:X14"/>
    <mergeCell ref="Y14:Y15"/>
    <mergeCell ref="F14:H14"/>
    <mergeCell ref="J14:L14"/>
    <mergeCell ref="M14:M15"/>
    <mergeCell ref="N14:P14"/>
    <mergeCell ref="Q14:Q15"/>
    <mergeCell ref="R14:T14"/>
    <mergeCell ref="U14:U15"/>
    <mergeCell ref="G42:K42"/>
    <mergeCell ref="L42:P42"/>
    <mergeCell ref="T36:U37"/>
    <mergeCell ref="V36:Y37"/>
    <mergeCell ref="A35:Y35"/>
    <mergeCell ref="A36:A37"/>
    <mergeCell ref="B36:D36"/>
    <mergeCell ref="E36:F37"/>
    <mergeCell ref="G36:K37"/>
    <mergeCell ref="L36:P37"/>
    <mergeCell ref="Q36:S36"/>
    <mergeCell ref="A38:Y38"/>
    <mergeCell ref="A39:K39"/>
    <mergeCell ref="L39:Y39"/>
    <mergeCell ref="A1:A7"/>
    <mergeCell ref="D1:R1"/>
    <mergeCell ref="D2:R2"/>
    <mergeCell ref="D3:R3"/>
    <mergeCell ref="D4:R4"/>
    <mergeCell ref="D5:R5"/>
    <mergeCell ref="D6:R6"/>
    <mergeCell ref="A8:Y8"/>
    <mergeCell ref="A9:D10"/>
    <mergeCell ref="E9:P9"/>
    <mergeCell ref="Q9:T10"/>
    <mergeCell ref="U9:Y10"/>
    <mergeCell ref="E10:H10"/>
    <mergeCell ref="M11:P11"/>
    <mergeCell ref="N12:Q13"/>
    <mergeCell ref="R12:U13"/>
    <mergeCell ref="V12:Y13"/>
    <mergeCell ref="J13:M13"/>
    <mergeCell ref="I10:L10"/>
    <mergeCell ref="M10:P10"/>
    <mergeCell ref="E11:H11"/>
    <mergeCell ref="I11:L11"/>
    <mergeCell ref="Q11:T11"/>
    <mergeCell ref="U11:Y11"/>
    <mergeCell ref="F12:M12"/>
    <mergeCell ref="A11:D11"/>
    <mergeCell ref="A12:A15"/>
    <mergeCell ref="B12:E13"/>
    <mergeCell ref="F13:I13"/>
    <mergeCell ref="B14:D14"/>
    <mergeCell ref="E14:E15"/>
    <mergeCell ref="I14:I15"/>
    <mergeCell ref="D378:K378"/>
    <mergeCell ref="D379:K379"/>
    <mergeCell ref="F393:K393"/>
    <mergeCell ref="T347:Y347"/>
    <mergeCell ref="E348:K348"/>
    <mergeCell ref="L348:P348"/>
    <mergeCell ref="L364:P364"/>
    <mergeCell ref="L350:P350"/>
    <mergeCell ref="T350:Y350"/>
    <mergeCell ref="E351:K351"/>
    <mergeCell ref="L351:P351"/>
    <mergeCell ref="T361:Y361"/>
    <mergeCell ref="T362:Y362"/>
    <mergeCell ref="E359:K359"/>
    <mergeCell ref="L359:P359"/>
    <mergeCell ref="E360:K360"/>
    <mergeCell ref="F387:K387"/>
    <mergeCell ref="L389:P389"/>
    <mergeCell ref="T389:Y389"/>
    <mergeCell ref="L362:P362"/>
    <mergeCell ref="E363:K363"/>
    <mergeCell ref="L363:P363"/>
    <mergeCell ref="E364:K364"/>
    <mergeCell ref="F389:K389"/>
    <mergeCell ref="B390:E390"/>
    <mergeCell ref="F390:K391"/>
    <mergeCell ref="E350:K350"/>
    <mergeCell ref="F388:K388"/>
    <mergeCell ref="T349:Y349"/>
    <mergeCell ref="E347:K347"/>
    <mergeCell ref="L347:P347"/>
    <mergeCell ref="A365:Y365"/>
    <mergeCell ref="T340:Y340"/>
    <mergeCell ref="T341:Y341"/>
    <mergeCell ref="E340:K340"/>
    <mergeCell ref="L340:P340"/>
    <mergeCell ref="E341:K341"/>
    <mergeCell ref="L341:P341"/>
    <mergeCell ref="T343:Y343"/>
    <mergeCell ref="T346:Y346"/>
    <mergeCell ref="E342:K342"/>
    <mergeCell ref="L342:P342"/>
    <mergeCell ref="T342:Y342"/>
    <mergeCell ref="E343:K343"/>
    <mergeCell ref="L343:P343"/>
    <mergeCell ref="E346:K346"/>
    <mergeCell ref="L346:P346"/>
    <mergeCell ref="T348:Y348"/>
    <mergeCell ref="D371:K371"/>
    <mergeCell ref="S366:Y366"/>
    <mergeCell ref="S367:Y367"/>
    <mergeCell ref="S368:Y368"/>
    <mergeCell ref="S369:Y369"/>
    <mergeCell ref="S370:Y370"/>
    <mergeCell ref="S371:Y371"/>
    <mergeCell ref="T353:Y353"/>
    <mergeCell ref="T354:Y354"/>
    <mergeCell ref="T355:Y355"/>
    <mergeCell ref="T356:Y356"/>
    <mergeCell ref="T357:Y357"/>
    <mergeCell ref="T358:Y358"/>
    <mergeCell ref="T359:Y359"/>
    <mergeCell ref="T360:Y360"/>
    <mergeCell ref="E353:K353"/>
    <mergeCell ref="L356:P356"/>
    <mergeCell ref="D370:K370"/>
    <mergeCell ref="E357:K357"/>
    <mergeCell ref="D367:K367"/>
    <mergeCell ref="D368:K368"/>
    <mergeCell ref="D369:K369"/>
    <mergeCell ref="L396:P396"/>
    <mergeCell ref="T396:Y396"/>
    <mergeCell ref="F383:K384"/>
    <mergeCell ref="F385:K385"/>
    <mergeCell ref="L385:P385"/>
    <mergeCell ref="F386:K386"/>
    <mergeCell ref="L386:P386"/>
    <mergeCell ref="A382:Y382"/>
    <mergeCell ref="A383:A384"/>
    <mergeCell ref="B383:E383"/>
    <mergeCell ref="L383:P384"/>
    <mergeCell ref="Q383:S383"/>
    <mergeCell ref="T383:Y384"/>
    <mergeCell ref="L378:Y381"/>
    <mergeCell ref="D380:K380"/>
    <mergeCell ref="D381:K381"/>
    <mergeCell ref="T393:Y393"/>
    <mergeCell ref="F392:K392"/>
    <mergeCell ref="L394:P394"/>
    <mergeCell ref="T394:Y394"/>
    <mergeCell ref="D372:K372"/>
    <mergeCell ref="D373:K373"/>
    <mergeCell ref="D374:K374"/>
    <mergeCell ref="D375:K375"/>
    <mergeCell ref="D376:K376"/>
    <mergeCell ref="D377:K377"/>
    <mergeCell ref="L395:P395"/>
    <mergeCell ref="T395:Y395"/>
    <mergeCell ref="F394:K394"/>
    <mergeCell ref="D395:E395"/>
    <mergeCell ref="T385:Y385"/>
    <mergeCell ref="T386:Y386"/>
    <mergeCell ref="L393:P393"/>
    <mergeCell ref="A390:A391"/>
    <mergeCell ref="L390:P391"/>
    <mergeCell ref="Q390:S390"/>
    <mergeCell ref="T390:Y391"/>
    <mergeCell ref="T330:Y330"/>
    <mergeCell ref="A352:Y352"/>
    <mergeCell ref="L360:P360"/>
    <mergeCell ref="E361:K361"/>
    <mergeCell ref="L361:P361"/>
    <mergeCell ref="E362:K362"/>
    <mergeCell ref="E330:K330"/>
    <mergeCell ref="L330:P330"/>
    <mergeCell ref="E344:K345"/>
    <mergeCell ref="L344:P345"/>
    <mergeCell ref="Q344:S344"/>
    <mergeCell ref="T344:Y345"/>
    <mergeCell ref="E339:K339"/>
    <mergeCell ref="L339:P339"/>
    <mergeCell ref="T339:Y339"/>
    <mergeCell ref="L353:P353"/>
    <mergeCell ref="E354:K354"/>
    <mergeCell ref="L354:P354"/>
    <mergeCell ref="E355:K355"/>
    <mergeCell ref="L355:P355"/>
    <mergeCell ref="E356:K356"/>
    <mergeCell ref="A325:Y325"/>
    <mergeCell ref="E326:K326"/>
    <mergeCell ref="L326:P326"/>
    <mergeCell ref="T326:Y326"/>
    <mergeCell ref="L327:P327"/>
    <mergeCell ref="T327:Y327"/>
    <mergeCell ref="L328:P328"/>
    <mergeCell ref="T328:Y328"/>
    <mergeCell ref="E328:K328"/>
    <mergeCell ref="E329:K329"/>
    <mergeCell ref="L329:P329"/>
    <mergeCell ref="T329:Y329"/>
    <mergeCell ref="E334:K334"/>
    <mergeCell ref="E335:K335"/>
    <mergeCell ref="L357:P357"/>
    <mergeCell ref="L358:P358"/>
    <mergeCell ref="E358:K358"/>
    <mergeCell ref="E336:K336"/>
    <mergeCell ref="E337:K337"/>
    <mergeCell ref="E338:K338"/>
    <mergeCell ref="L334:P334"/>
    <mergeCell ref="L335:P335"/>
    <mergeCell ref="L336:P336"/>
    <mergeCell ref="L337:P337"/>
    <mergeCell ref="L338:P338"/>
    <mergeCell ref="T334:Y334"/>
    <mergeCell ref="T335:Y335"/>
    <mergeCell ref="T336:Y336"/>
    <mergeCell ref="T337:Y337"/>
    <mergeCell ref="T338:Y338"/>
    <mergeCell ref="A344:A345"/>
    <mergeCell ref="B344:D344"/>
    <mergeCell ref="E299:K299"/>
    <mergeCell ref="L299:P299"/>
    <mergeCell ref="T299:Y299"/>
    <mergeCell ref="E302:K302"/>
    <mergeCell ref="L302:P302"/>
    <mergeCell ref="T302:Y302"/>
    <mergeCell ref="E288:K288"/>
    <mergeCell ref="L288:P288"/>
    <mergeCell ref="T288:Y288"/>
    <mergeCell ref="E289:K289"/>
    <mergeCell ref="L289:P289"/>
    <mergeCell ref="T289:Y289"/>
    <mergeCell ref="E290:K290"/>
    <mergeCell ref="L290:P290"/>
    <mergeCell ref="T290:Y290"/>
    <mergeCell ref="E291:K291"/>
    <mergeCell ref="L291:P291"/>
    <mergeCell ref="T291:Y291"/>
    <mergeCell ref="E292:K292"/>
    <mergeCell ref="L292:P292"/>
    <mergeCell ref="T292:Y292"/>
    <mergeCell ref="E293:K293"/>
    <mergeCell ref="T294:Y294"/>
    <mergeCell ref="T293:Y293"/>
    <mergeCell ref="E294:K294"/>
    <mergeCell ref="L294:P294"/>
    <mergeCell ref="E295:K295"/>
    <mergeCell ref="L295:P295"/>
    <mergeCell ref="T295:Y295"/>
    <mergeCell ref="E296:K296"/>
    <mergeCell ref="L296:P296"/>
    <mergeCell ref="T296:Y296"/>
    <mergeCell ref="E303:K303"/>
    <mergeCell ref="L303:P303"/>
    <mergeCell ref="T303:Y303"/>
    <mergeCell ref="E304:K304"/>
    <mergeCell ref="L304:P304"/>
    <mergeCell ref="T304:Y304"/>
    <mergeCell ref="E305:K305"/>
    <mergeCell ref="L305:P305"/>
    <mergeCell ref="T305:Y305"/>
    <mergeCell ref="E306:K306"/>
    <mergeCell ref="L306:P306"/>
    <mergeCell ref="T306:Y306"/>
    <mergeCell ref="E307:K307"/>
    <mergeCell ref="L307:P307"/>
    <mergeCell ref="T307:Y307"/>
    <mergeCell ref="E308:K308"/>
    <mergeCell ref="L308:P308"/>
    <mergeCell ref="T308:Y308"/>
    <mergeCell ref="E309:K309"/>
    <mergeCell ref="L309:P309"/>
    <mergeCell ref="T309:Y309"/>
    <mergeCell ref="E310:K310"/>
    <mergeCell ref="L310:P310"/>
    <mergeCell ref="T310:Y310"/>
    <mergeCell ref="E311:K311"/>
    <mergeCell ref="L311:P311"/>
    <mergeCell ref="T311:Y311"/>
    <mergeCell ref="E312:K312"/>
    <mergeCell ref="L312:P312"/>
    <mergeCell ref="T312:Y312"/>
    <mergeCell ref="E313:K313"/>
    <mergeCell ref="L313:P313"/>
    <mergeCell ref="T313:Y313"/>
    <mergeCell ref="E314:K314"/>
    <mergeCell ref="L314:P314"/>
    <mergeCell ref="T314:Y314"/>
    <mergeCell ref="E315:K315"/>
    <mergeCell ref="L315:P315"/>
    <mergeCell ref="T315:Y315"/>
    <mergeCell ref="E316:K316"/>
    <mergeCell ref="L316:P316"/>
    <mergeCell ref="T316:Y316"/>
    <mergeCell ref="E317:K317"/>
    <mergeCell ref="L317:P317"/>
    <mergeCell ref="T317:Y317"/>
    <mergeCell ref="E318:K318"/>
    <mergeCell ref="L318:P318"/>
    <mergeCell ref="T318:Y318"/>
    <mergeCell ref="E319:K319"/>
    <mergeCell ref="L319:P319"/>
    <mergeCell ref="T319:Y319"/>
    <mergeCell ref="E320:K320"/>
    <mergeCell ref="L320:P320"/>
    <mergeCell ref="T320:Y320"/>
    <mergeCell ref="E297:K297"/>
    <mergeCell ref="L297:P297"/>
    <mergeCell ref="T297:Y297"/>
    <mergeCell ref="E298:K298"/>
    <mergeCell ref="L298:P298"/>
    <mergeCell ref="T298:Y298"/>
    <mergeCell ref="L140:O140"/>
    <mergeCell ref="L141:O141"/>
    <mergeCell ref="L144:O144"/>
    <mergeCell ref="L145:O145"/>
    <mergeCell ref="L146:O146"/>
    <mergeCell ref="L147:O147"/>
    <mergeCell ref="L148:O148"/>
    <mergeCell ref="L164:O164"/>
    <mergeCell ref="E153:E154"/>
    <mergeCell ref="F153:K154"/>
    <mergeCell ref="P153:R153"/>
    <mergeCell ref="S153:S154"/>
    <mergeCell ref="T153:Y154"/>
    <mergeCell ref="T155:Y155"/>
    <mergeCell ref="S144:Y144"/>
    <mergeCell ref="S145:Y145"/>
    <mergeCell ref="S146:Y146"/>
    <mergeCell ref="S147:Y147"/>
    <mergeCell ref="S148:Y148"/>
    <mergeCell ref="E172:K172"/>
    <mergeCell ref="L172:O172"/>
    <mergeCell ref="L173:Y173"/>
    <mergeCell ref="A173:K173"/>
    <mergeCell ref="T156:Y156"/>
    <mergeCell ref="T157:Y157"/>
    <mergeCell ref="E164:K164"/>
    <mergeCell ref="A70:A71"/>
    <mergeCell ref="B70:D70"/>
    <mergeCell ref="E70:F71"/>
    <mergeCell ref="G70:K71"/>
    <mergeCell ref="L70:P71"/>
    <mergeCell ref="Q70:S70"/>
    <mergeCell ref="T70:U71"/>
    <mergeCell ref="V70:Y71"/>
    <mergeCell ref="E321:K321"/>
    <mergeCell ref="L321:P321"/>
    <mergeCell ref="T321:Y321"/>
    <mergeCell ref="E322:K322"/>
    <mergeCell ref="L322:P322"/>
    <mergeCell ref="E323:K323"/>
    <mergeCell ref="L323:P323"/>
    <mergeCell ref="E324:K324"/>
    <mergeCell ref="A300:A301"/>
    <mergeCell ref="B300:D300"/>
    <mergeCell ref="E300:K301"/>
    <mergeCell ref="L300:P301"/>
    <mergeCell ref="Q300:S300"/>
    <mergeCell ref="T300:Y301"/>
    <mergeCell ref="E124:K124"/>
    <mergeCell ref="L124:P124"/>
    <mergeCell ref="T124:Y124"/>
    <mergeCell ref="E125:K125"/>
    <mergeCell ref="L125:P125"/>
    <mergeCell ref="T125:Y125"/>
    <mergeCell ref="E126:K126"/>
    <mergeCell ref="T126:Y126"/>
    <mergeCell ref="E127:K127"/>
    <mergeCell ref="T127:Y127"/>
  </mergeCells>
  <printOptions horizontalCentered="1"/>
  <pageMargins left="0.25" right="0.25" top="0.75" bottom="0.75" header="0.3" footer="0.3"/>
  <pageSetup paperSize="5" scale="65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GT CESU Main</cp:lastModifiedBy>
  <cp:lastPrinted>2026-02-23T07:33:56Z</cp:lastPrinted>
  <dcterms:created xsi:type="dcterms:W3CDTF">2026-01-14T04:00:20Z</dcterms:created>
  <dcterms:modified xsi:type="dcterms:W3CDTF">2026-03-03T05:21:19Z</dcterms:modified>
</cp:coreProperties>
</file>